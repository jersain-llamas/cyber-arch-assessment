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Escala" sheetId="2" state="visible" r:id="rId4"/>
    <sheet name="Autoevaluación" sheetId="3" state="visible" r:id="rId5"/>
    <sheet name="Resumen" sheetId="4" state="visible" r:id="rId6"/>
    <sheet name="Tablero" sheetId="5" state="visible" r:id="rId7"/>
  </sheets>
  <definedNames>
    <definedName function="false" hidden="true" localSheetId="2" name="_xlnm._FilterDatabase" vbProcedure="false">Autoevaluación!$A$1:$H$178</definedName>
    <definedName function="false" hidden="true" localSheetId="3" name="_xlnm._FilterDatabase" vbProcedure="false">Resumen!$A$1:$H$60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<sst xmlns="http://schemas.openxmlformats.org/spreadsheetml/2006/main" count="852" uniqueCount="377">
  <si>
    <t xml:space="preserve">AUTOEVALUACIÓN DE ARQUITECTURA LEGAL DE CIBERSEGURIDAD</t>
  </si>
  <si>
    <t xml:space="preserve">Arquetipo legislativo mínimo viable · América Latina y el Caribe · 10 pilares / 59 subpilares / 177 ítems</t>
  </si>
  <si>
    <t xml:space="preserve">  CÓMO LLENARLO (3 pasos)</t>
  </si>
  <si>
    <t xml:space="preserve">1.  Abra la hoja «Autoevaluación». Cada subpilar tiene 3 ítems. En la columna amarilla «Nivel (0-4)»</t>
  </si>
  <si>
    <t xml:space="preserve">     elija un número de 0 a 4 (hay menú desplegable al hacer clic en la celda). Esa es la ÚNICA columna obligatoria.</t>
  </si>
  <si>
    <t xml:space="preserve">2.  Opcional: anote en «Evidencia» el artículo de su ley y en «Nota» qué falta para subir de nivel.</t>
  </si>
  <si>
    <t xml:space="preserve">3.  Las hojas «Resumen» y «Tablero» se calculan solas: promedian los ítems por subpilar y por pilar.</t>
  </si>
  <si>
    <t xml:space="preserve">  SI LA GRÁFICA O LOS NÚMEROS NO CAMBIAN</t>
  </si>
  <si>
    <t xml:space="preserve">•  Use Excel de escritorio o LibreOffice. En Google Sheets el radar puede importarse como imagen fija;</t>
  </si>
  <si>
    <t xml:space="preserve">   las celdas de color de las hojas «Resumen» y «Tablero» sí se actualizan en cualquier programa.</t>
  </si>
  <si>
    <t xml:space="preserve">•  Si nada recalcula: menú Fórmulas → Opciones de cálculo → Automático (o pulse F9 / Cmd + =).</t>
  </si>
  <si>
    <t xml:space="preserve">•  El radar promedia muchos ítems: cambiar un solo ítem lo mueve poco. Mire mejor la hoja «Resumen».</t>
  </si>
  <si>
    <t xml:space="preserve">  ESCALA 0-4 Y LAS DOS LECTURAS</t>
  </si>
  <si>
    <t xml:space="preserve">Niveles 0-3 = arquitectura legal (alcance del documento). Nivel 4 = capa operativa verificable (extensión). Detalle en «Escala».</t>
  </si>
  <si>
    <t xml:space="preserve">•  Cobertura legal = % de subpilares con promedio ≥ 3.   •  Madurez operativa = % de subpilares con promedio = 4.</t>
  </si>
  <si>
    <t xml:space="preserve">  NOTAS</t>
  </si>
  <si>
    <t xml:space="preserve">•  Tesis del marco: el problema regional es de ARQUITECTURA JURÍDICA COHERENTE, no de mera ausencia de normas.</t>
  </si>
  <si>
    <t xml:space="preserve">•  El «Tier» (Núcleo/Intermedio/Avanzado) es una secuencia de adopción PROPUESTA y editable, no del documento original.</t>
  </si>
  <si>
    <t xml:space="preserve">•  Las referencias (NIS2, DORA, CRA, CER, CSA, Chile 21.663…) son anclas de redacción, no de copia literal.</t>
  </si>
  <si>
    <t xml:space="preserve">RÚBRICA DE MADUREZ (0-4)</t>
  </si>
  <si>
    <t xml:space="preserve">Nivel</t>
  </si>
  <si>
    <t xml:space="preserve">Etiqueta</t>
  </si>
  <si>
    <t xml:space="preserve">Descripción</t>
  </si>
  <si>
    <t xml:space="preserve">Ausente</t>
  </si>
  <si>
    <t xml:space="preserve">No hay base normativa identificable para el elemento.</t>
  </si>
  <si>
    <t xml:space="preserve">Disperso / implícito</t>
  </si>
  <si>
    <t xml:space="preserve">Existe solo en normas penales, sectoriales o administrativas fragmentadas (brecha conceptual).</t>
  </si>
  <si>
    <t xml:space="preserve">Previsto no habilitante</t>
  </si>
  <si>
    <t xml:space="preserve">Mencionado, pero sin lex specialis, sin competencias ni estándares verificables (brecha normativa).</t>
  </si>
  <si>
    <t xml:space="preserve">Establecido en ley especial</t>
  </si>
  <si>
    <t xml:space="preserve">Definido en ley, con autoridad y deberes exigibles (arquitectura legal cubierta).</t>
  </si>
  <si>
    <t xml:space="preserve">Establecido y verificable</t>
  </si>
  <si>
    <t xml:space="preserve">Además con métricas/KPIs, plazos y trazabilidad operativa (cierre de la brecha operativa).</t>
  </si>
  <si>
    <t xml:space="preserve">Lectura: nivel ≥ 3 = ya está en una ley especial (cobertura legal). Nivel 4 = además operativo y verificable.</t>
  </si>
  <si>
    <t xml:space="preserve">Pilar</t>
  </si>
  <si>
    <t xml:space="preserve">Ref</t>
  </si>
  <si>
    <t xml:space="preserve">Subpilar</t>
  </si>
  <si>
    <t xml:space="preserve">Tier</t>
  </si>
  <si>
    <t xml:space="preserve">Ítem a verificar</t>
  </si>
  <si>
    <t xml:space="preserve">Nivel
(0-4)</t>
  </si>
  <si>
    <t xml:space="preserve">Evidencia (art./sección de su ley)</t>
  </si>
  <si>
    <t xml:space="preserve">Nota / acción</t>
  </si>
  <si>
    <t xml:space="preserve">A</t>
  </si>
  <si>
    <t xml:space="preserve">A1</t>
  </si>
  <si>
    <t xml:space="preserve">Definiciones</t>
  </si>
  <si>
    <t xml:space="preserve">Núcleo</t>
  </si>
  <si>
    <t xml:space="preserve">• Define los términos núcleo (incidente, riesgo, vulnerabilidad, entidad obligada) de forma cerrada.</t>
  </si>
  <si>
    <t xml:space="preserve">• Alinea la terminología con estándares y con otras leyes (penal, datos, sectorial), sin contradicciones.</t>
  </si>
  <si>
    <t xml:space="preserve">• No esconde obligaciones materiales dentro de las definiciones (un término, un significado).</t>
  </si>
  <si>
    <t xml:space="preserve">A2</t>
  </si>
  <si>
    <t xml:space="preserve">Ámbito y extraterritorialidad</t>
  </si>
  <si>
    <t xml:space="preserve">• Delimita el alcance material, subjetivo y sectorial (qué sí y qué no).</t>
  </si>
  <si>
    <t xml:space="preserve">• Usa impacto sistémico/criticidad como criterio (no solo tamaño) y prevé exclusiones e interfaces.</t>
  </si>
  <si>
    <t xml:space="preserve">• Regula la extraterritorialidad funcional (aplica si el servicio afecta al país).</t>
  </si>
  <si>
    <t xml:space="preserve">A3</t>
  </si>
  <si>
    <t xml:space="preserve">Autoridad / Agencia nacional</t>
  </si>
  <si>
    <t xml:space="preserve">• Crea la autoridad con mandato legal expreso y función rectora/coordinadora.</t>
  </si>
  <si>
    <t xml:space="preserve">• Le otorga potestad normativa secundaria, de información, supervisión y sanción.</t>
  </si>
  <si>
    <t xml:space="preserve">• Le asegura presupuesto, personal y autonomía técnica; separa asistencia de sanción.</t>
  </si>
  <si>
    <t xml:space="preserve">A4</t>
  </si>
  <si>
    <t xml:space="preserve">Estrategia, políticas, planes y KPIs</t>
  </si>
  <si>
    <t xml:space="preserve">• Exige estrategia nacional con objetivos, responsables y secuencia de implementación.</t>
  </si>
  <si>
    <t xml:space="preserve">• Incluye indicadores (KPIs) y mecanismos de revisión periódica.</t>
  </si>
  <si>
    <t xml:space="preserve">• Distingue la estrategia (ex ante) de las potestades/sanciones de la ley.</t>
  </si>
  <si>
    <t xml:space="preserve">A5</t>
  </si>
  <si>
    <t xml:space="preserve">Roles institucionales</t>
  </si>
  <si>
    <t xml:space="preserve">• Asigna accountability a la alta dirección u órgano de gobierno.</t>
  </si>
  <si>
    <t xml:space="preserve">• Crea gestión especializada (CISO/delegado) distinta del jefe de TI.</t>
  </si>
  <si>
    <t xml:space="preserve">• Define coordinación/respuesta (SPOC, CSIRT) y canales de reporte vertical y horizontal.</t>
  </si>
  <si>
    <t xml:space="preserve">A6</t>
  </si>
  <si>
    <t xml:space="preserve">Consejo multiactor</t>
  </si>
  <si>
    <t xml:space="preserve">Intermedio</t>
  </si>
  <si>
    <t xml:space="preserve">• Institucionaliza un consejo consultivo permanente y plural (no consulta esporádica).</t>
  </si>
  <si>
    <t xml:space="preserve">• Define su función como consultiva (asesora, no decide).</t>
  </si>
  <si>
    <t xml:space="preserve">• Fija reglas de integridad, abstención y reserva.</t>
  </si>
  <si>
    <t xml:space="preserve">A7</t>
  </si>
  <si>
    <t xml:space="preserve">Transparencia y derechos</t>
  </si>
  <si>
    <t xml:space="preserve">• Fija salvaguardas de derechos como límite (legalidad, necesidad, proporcionalidad).</t>
  </si>
  <si>
    <t xml:space="preserve">• Protege el cifrado de extremo a extremo frente a debilitamientos estructurales.</t>
  </si>
  <si>
    <t xml:space="preserve">• Incluye una cláusula de no-retroceso (no degradar garantías ya reconocidas).</t>
  </si>
  <si>
    <t xml:space="preserve">A8</t>
  </si>
  <si>
    <t xml:space="preserve">Métricas y rendición de cuentas</t>
  </si>
  <si>
    <t xml:space="preserve">• Obliga a medir estrategia y capacidades con métricas ordinarias.</t>
  </si>
  <si>
    <t xml:space="preserve">• Prevé evaluación institucional independiente o entre pares.</t>
  </si>
  <si>
    <t xml:space="preserve">• Institucionaliza la revisión post-incidente (aprendizaje).</t>
  </si>
  <si>
    <t xml:space="preserve">A9</t>
  </si>
  <si>
    <t xml:space="preserve">Ventanilla única (one-stop)</t>
  </si>
  <si>
    <t xml:space="preserve">• Establece un punto único de contacto (one-stop).</t>
  </si>
  <si>
    <t xml:space="preserve">• Fija reglas anti-duplicidad: el regulado reporta una vez y el Estado redistribuye.</t>
  </si>
  <si>
    <t xml:space="preserve">• Armoniza contenidos/plantillas de reporte entre autoridades.</t>
  </si>
  <si>
    <t xml:space="preserve">A10</t>
  </si>
  <si>
    <t xml:space="preserve">VEP (0-days)</t>
  </si>
  <si>
    <t xml:space="preserve">Avanzado</t>
  </si>
  <si>
    <t xml:space="preserve">• Crea un proceso estatal trazable para ponderar retención/divulgación de 0-days.</t>
  </si>
  <si>
    <t xml:space="preserve">• Lo asigna a una instancia colegiada con secretaría y registro documental.</t>
  </si>
  <si>
    <t xml:space="preserve">• Impone reevaluación periódica (no retención indefinida) e informe.</t>
  </si>
  <si>
    <t xml:space="preserve">B</t>
  </si>
  <si>
    <t xml:space="preserve">B1</t>
  </si>
  <si>
    <t xml:space="preserve">CSIRT / CERT nacionales o sectoriales</t>
  </si>
  <si>
    <t xml:space="preserve">• Designa formalmente uno o más CSIRT y define su constituency.</t>
  </si>
  <si>
    <t xml:space="preserve">• Fija mandato mínimo, disponibilidad continua y canales seguros.</t>
  </si>
  <si>
    <t xml:space="preserve">• Asegura recursos/continuidad y reglas de coordinación nacional e internacional.</t>
  </si>
  <si>
    <t xml:space="preserve">B2</t>
  </si>
  <si>
    <t xml:space="preserve">Gestión de crisis y continuidad</t>
  </si>
  <si>
    <t xml:space="preserve">• Designa autoridad/comité de gestión de crisis de gran escala.</t>
  </si>
  <si>
    <t xml:space="preserve">• Exige un plan nacional de respuesta con roles, umbrales y escalamiento.</t>
  </si>
  <si>
    <t xml:space="preserve">• Ordena ejercicios periódicos, protocolos de comunicación y continuidad de funciones críticas.</t>
  </si>
  <si>
    <t xml:space="preserve">B3</t>
  </si>
  <si>
    <t xml:space="preserve">CTI y compartición</t>
  </si>
  <si>
    <t xml:space="preserve">• Habilita el intercambio voluntario/estructurado de CTI (IoC, TTPs, near misses).</t>
  </si>
  <si>
    <t xml:space="preserve">• Otorga safe harbor frente a responsabilidad por compartir de buena fe.</t>
  </si>
  <si>
    <t xml:space="preserve">• Resuelve la tensión de competencia/antimonopolio para que la información circule.</t>
  </si>
  <si>
    <t xml:space="preserve">B4</t>
  </si>
  <si>
    <t xml:space="preserve">GovSOC / Centro Nacional</t>
  </si>
  <si>
    <t xml:space="preserve">• Crea capacidad de monitoreo continuo del sector público (GovSOC).</t>
  </si>
  <si>
    <t xml:space="preserve">• Habilita correlación de telemetría y producción de alertas/conciencia situacional.</t>
  </si>
  <si>
    <t xml:space="preserve">• Establece enlace técnico directo con el CSIRT e interoperabilidad con estructuras de alerta.</t>
  </si>
  <si>
    <t xml:space="preserve">B5</t>
  </si>
  <si>
    <t xml:space="preserve">Respuesta comunicacional</t>
  </si>
  <si>
    <t xml:space="preserve">• Define avisos a los afectados y al público cuando proceda.</t>
  </si>
  <si>
    <t xml:space="preserve">• Coordina mensajes entre autoridades técnicas, regulatorias y de crisis (portavoz/roles).</t>
  </si>
  <si>
    <t xml:space="preserve">• Prevé auxilio/solidaridad de emergencia y documentación de resultados.</t>
  </si>
  <si>
    <t xml:space="preserve">C</t>
  </si>
  <si>
    <t xml:space="preserve">C1</t>
  </si>
  <si>
    <t xml:space="preserve">ISMS / SGSI</t>
  </si>
  <si>
    <t xml:space="preserve">• Exige medidas técnicas/organizativas apropiadas y proporcionales (enfoque all-hazards).</t>
  </si>
  <si>
    <t xml:space="preserve">• Cubre el ciclo política → riesgo → controles → monitoreo → mejora (sistema, no checklist).</t>
  </si>
  <si>
    <t xml:space="preserve">• Remite a estándares (ISO 27001/27002) como referente, sin imponer certificación cerrada.</t>
  </si>
  <si>
    <t xml:space="preserve">C2</t>
  </si>
  <si>
    <t xml:space="preserve">Cadena de suministro / MSP / MSSP</t>
  </si>
  <si>
    <t xml:space="preserve">• Obliga a gestionar el riesgo de proveedores directos y MSP/MSSP.</t>
  </si>
  <si>
    <t xml:space="preserve">• Considera vulnerabilidades y calidad de prácticas del proveedor en la selección.</t>
  </si>
  <si>
    <t xml:space="preserve">• Habilita trazabilidad de componentes (SBOM) y mejores contratos.</t>
  </si>
  <si>
    <t xml:space="preserve">C3</t>
  </si>
  <si>
    <t xml:space="preserve">Nube / servicios gestionados</t>
  </si>
  <si>
    <t xml:space="preserve">• Asegura control operativo real (logs, telemetría, portabilidad), no solo localización.</t>
  </si>
  <si>
    <t xml:space="preserve">• Aclara que externalizar infraestructura no externaliza la responsabilidad.</t>
  </si>
  <si>
    <t xml:space="preserve">• Aborda la soberanía operativa sin convertirla en proteccionismo encubierto.</t>
  </si>
  <si>
    <t xml:space="preserve">C4</t>
  </si>
  <si>
    <t xml:space="preserve">Awareness y formación por rol</t>
  </si>
  <si>
    <t xml:space="preserve">• Impone ciberhigiene básica como piso común.</t>
  </si>
  <si>
    <t xml:space="preserve">• Exige formación periódica proporcional al rol, incluida la alta dirección.</t>
  </si>
  <si>
    <t xml:space="preserve">• Alcanza a terceros/proveedores en funciones críticas, con gobernanza y presupuesto.</t>
  </si>
  <si>
    <t xml:space="preserve">C5</t>
  </si>
  <si>
    <t xml:space="preserve">Divulgación responsable / buena fe</t>
  </si>
  <si>
    <t xml:space="preserve">• Exige una política de divulgación (VDP) con alcance, reglas y punto de contacto.</t>
  </si>
  <si>
    <t xml:space="preserve">• Estructura recepción, análisis, remediación y respuesta al reportante (CVD).</t>
  </si>
  <si>
    <t xml:space="preserve">• Reconoce safe harbor para investigación de buena fe y delimita pruebas autorizadas.</t>
  </si>
  <si>
    <t xml:space="preserve">D</t>
  </si>
  <si>
    <t xml:space="preserve">D1</t>
  </si>
  <si>
    <t xml:space="preserve">Sectores / operadores esenciales</t>
  </si>
  <si>
    <t xml:space="preserve">• Define el criterio de entrada (qué sectores/servicios entran por ley).</t>
  </si>
  <si>
    <t xml:space="preserve">• Permite intensificación/designación administrativa por criticidad.</t>
  </si>
  <si>
    <t xml:space="preserve">• Mantiene un registro/lista nacional con revisión periódica.</t>
  </si>
  <si>
    <t xml:space="preserve">D2</t>
  </si>
  <si>
    <t xml:space="preserve">Obligaciones reforzadas</t>
  </si>
  <si>
    <t xml:space="preserve">• Impone obligaciones avanzadas escalables y proporcionales al riesgo sistémico.</t>
  </si>
  <si>
    <t xml:space="preserve">• Exige continuidad con metas (RTO/RPO) y validación, no solo políticas escritas.</t>
  </si>
  <si>
    <t xml:space="preserve">• Habilita pruebas avanzadas (tipo TLPT) para los operadores más sensibles.</t>
  </si>
  <si>
    <t xml:space="preserve">D3</t>
  </si>
  <si>
    <t xml:space="preserve">Supervisión sectorial y coordinación</t>
  </si>
  <si>
    <t xml:space="preserve">• Designa autoridad(es) competente(s) y un punto único de contacto.</t>
  </si>
  <si>
    <t xml:space="preserve">• Fija reglas expresas de reparto competencial (rectoría + sectoriales equivalentes).</t>
  </si>
  <si>
    <t xml:space="preserve">• Establece coordinación previa anti-duplicidad/solapamiento.</t>
  </si>
  <si>
    <t xml:space="preserve">D4</t>
  </si>
  <si>
    <t xml:space="preserve">Interdependencias / cascada</t>
  </si>
  <si>
    <t xml:space="preserve">• Exige evaluación nacional de interdependencias intersectoriales.</t>
  </si>
  <si>
    <t xml:space="preserve">• Obliga a cada entidad crítica a evaluar sus dependencias mutuas.</t>
  </si>
  <si>
    <t xml:space="preserve">• Habilita pruebas conjuntas y revisión de incidentes sistémicos (efecto cascada).</t>
  </si>
  <si>
    <t xml:space="preserve">D5</t>
  </si>
  <si>
    <t xml:space="preserve">OT / ICS (físico-lógico)</t>
  </si>
  <si>
    <t xml:space="preserve">• Da tratamiento específico a OT/ICS cuando hay proceso físico-digital relevante.</t>
  </si>
  <si>
    <t xml:space="preserve">• Remite a un marco técnico reconocido (p. ej. ISA/IEC 62443) sin absorber su detalle.</t>
  </si>
  <si>
    <t xml:space="preserve">• Distribuye responsabilidades por roles (asset owner, integrador, proveedor) y habilita auditoría.</t>
  </si>
  <si>
    <t xml:space="preserve">E</t>
  </si>
  <si>
    <t xml:space="preserve">E1</t>
  </si>
  <si>
    <t xml:space="preserve">Umbrales y plazos</t>
  </si>
  <si>
    <t xml:space="preserve">• Fija un umbral de significancia que dispara el deber de reportar.</t>
  </si>
  <si>
    <t xml:space="preserve">• Establece reporte escalonado por fases con plazos (p. ej. 24 h / 72 h / final).</t>
  </si>
  <si>
    <t xml:space="preserve">• Define el canal/autoridad receptora y la trazabilidad del expediente.</t>
  </si>
  <si>
    <t xml:space="preserve">E2</t>
  </si>
  <si>
    <t xml:space="preserve">Contenido del reporte</t>
  </si>
  <si>
    <t xml:space="preserve">• Define el contenido por fases (alerta temprana / notificación / informe final).</t>
  </si>
  <si>
    <t xml:space="preserve">• Asegura información suficiente para triage y correlación (IoC, TTPs).</t>
  </si>
  <si>
    <t xml:space="preserve">• Permite que la autoridad/CSIRT cierre el bucle con acuse, feedback y orientación.</t>
  </si>
  <si>
    <t xml:space="preserve">E3</t>
  </si>
  <si>
    <t xml:space="preserve">Ransomware</t>
  </si>
  <si>
    <t xml:space="preserve">• Distingue el ransomware (cifrado, exfiltración, amenaza de publicación) del incidente genérico.</t>
  </si>
  <si>
    <t xml:space="preserve">• Crea reporte específico del pago con plazo perentorio y conexión al expediente.</t>
  </si>
  <si>
    <t xml:space="preserve">• Activa coordinación con sanciones y con AML/CFT cuando proceda.</t>
  </si>
  <si>
    <t xml:space="preserve">E4</t>
  </si>
  <si>
    <t xml:space="preserve">Protección del informante / víctima</t>
  </si>
  <si>
    <t xml:space="preserve">• La mera notificación no agrava la responsabilidad ni es admisión de culpa.</t>
  </si>
  <si>
    <t xml:space="preserve">• Protege la confidencialidad del informante de buena fe frente a represalias.</t>
  </si>
  <si>
    <t xml:space="preserve">• Permite reportes voluntarios y de near misses por canal seguro.</t>
  </si>
  <si>
    <t xml:space="preserve">E5</t>
  </si>
  <si>
    <t xml:space="preserve">Clasificación de severidad</t>
  </si>
  <si>
    <t xml:space="preserve">• Define criterios comunes de severidad (no a discreción del reportante).</t>
  </si>
  <si>
    <t xml:space="preserve">• Los vincula con variables objetivas y verificables.</t>
  </si>
  <si>
    <t xml:space="preserve">• Conecta severidad con disparadores de reporte y escalamiento; deja margen sectorial.</t>
  </si>
  <si>
    <t xml:space="preserve">E6</t>
  </si>
  <si>
    <t xml:space="preserve">Lecciones aprendidas / post-mortem</t>
  </si>
  <si>
    <t xml:space="preserve">• Obliga a revisión posterior interna (causa raíz, eficacia de respuesta) supervisable.</t>
  </si>
  <si>
    <t xml:space="preserve">• Verifica si procedimientos, escalamiento y comunicación funcionaron.</t>
  </si>
  <si>
    <t xml:space="preserve">• Prevé aprendizaje sistémico para incidentes significativos o transfronterizos.</t>
  </si>
  <si>
    <t xml:space="preserve">E7</t>
  </si>
  <si>
    <t xml:space="preserve">Interoperabilidad de reportes</t>
  </si>
  <si>
    <t xml:space="preserve">• Define formularios, campos obligatorios, glosarios y validaciones.</t>
  </si>
  <si>
    <t xml:space="preserve">• Exige canales seguros y circuito de respuesta/actualización (sin pedir lo mismo dos veces).</t>
  </si>
  <si>
    <t xml:space="preserve">• Habilita interoperabilidad técnica avanzada (STIX 2.1/TAXII 2.1) entre autoridades/CSIRTs.</t>
  </si>
  <si>
    <t xml:space="preserve">F</t>
  </si>
  <si>
    <t xml:space="preserve">F1</t>
  </si>
  <si>
    <t xml:space="preserve">Productos / IoT</t>
  </si>
  <si>
    <t xml:space="preserve">• Impone diseño seguro, evaluación de riesgo y período de soporte comunicable.</t>
  </si>
  <si>
    <t xml:space="preserve">• Exige manejo de vulnerabilidades/CVD con punto de contacto durante el soporte.</t>
  </si>
  <si>
    <t xml:space="preserve">• Regula el fin de soporte (EoL) visible y extiende la lógica a IoT/radio.</t>
  </si>
  <si>
    <t xml:space="preserve">F2</t>
  </si>
  <si>
    <t xml:space="preserve">Conformidad / certificación proporcional</t>
  </si>
  <si>
    <t xml:space="preserve">• Hace la intensidad de evaluación proporcional al riesgo del producto.</t>
  </si>
  <si>
    <t xml:space="preserve">• Distingue conformidad, certificación y marcado.</t>
  </si>
  <si>
    <t xml:space="preserve">• Evita esquemas nacionales fragmentados (interopera con esquemas reconocidos).</t>
  </si>
  <si>
    <t xml:space="preserve">F3</t>
  </si>
  <si>
    <t xml:space="preserve">Etiquetado / información al usuario</t>
  </si>
  <si>
    <t xml:space="preserve">• Exige informar el fin de soporte (al menos mes/año) antes o al momento de compra.</t>
  </si>
  <si>
    <t xml:space="preserve">• Publica el canal de reporte de vulnerabilidades.</t>
  </si>
  <si>
    <t xml:space="preserve">• Mantiene la información accesible durante el período de soporte/actualización.</t>
  </si>
  <si>
    <t xml:space="preserve">F4</t>
  </si>
  <si>
    <t xml:space="preserve">Seguro cibernético</t>
  </si>
  <si>
    <t xml:space="preserve">• Lo trata como mecanismo complementario de mercado (no pilar sustantivo).</t>
  </si>
  <si>
    <t xml:space="preserve">• No confunde los planos (entidad / responsabilidad profesional / señalización).</t>
  </si>
  <si>
    <t xml:space="preserve">• Evita imponer seguro obligatorio sin condiciones claras.</t>
  </si>
  <si>
    <t xml:space="preserve">F5</t>
  </si>
  <si>
    <t xml:space="preserve">Reconocimiento / vigilancia / retiros</t>
  </si>
  <si>
    <t xml:space="preserve">• Reconoce ordenadamente esquemas/certificados para evitar fragmentación.</t>
  </si>
  <si>
    <t xml:space="preserve">• Designa autoridad(es) con poderes reales de vigilancia de mercado.</t>
  </si>
  <si>
    <t xml:space="preserve">• Prevé medidas correctivas claras (restricción, retiro, recall, suspensión) y escalamiento.</t>
  </si>
  <si>
    <t xml:space="preserve">F6</t>
  </si>
  <si>
    <t xml:space="preserve">Responsabilidad por vulnerabilidades graves</t>
  </si>
  <si>
    <t xml:space="preserve">• Fija un deber de diligencia (secure-by-design/default, vulnerability handling).</t>
  </si>
  <si>
    <t xml:space="preserve">• Prevé sanciones administrativas por incumplir ese deber.</t>
  </si>
  <si>
    <t xml:space="preserve">• Articula responsabilidad civil por producto defectuoso (defecto + daño + causalidad).</t>
  </si>
  <si>
    <t xml:space="preserve">G</t>
  </si>
  <si>
    <t xml:space="preserve">G1</t>
  </si>
  <si>
    <t xml:space="preserve">Mecanismos de cooperación</t>
  </si>
  <si>
    <t xml:space="preserve">• Estructura canales 24/7 para intercambio urgente.</t>
  </si>
  <si>
    <t xml:space="preserve">• Prevé medidas de confianza (CBMs) y redes operativas de CSIRTs.</t>
  </si>
  <si>
    <t xml:space="preserve">• No confunde la cooperación penal (Budapest) con la técnico-operativa.</t>
  </si>
  <si>
    <t xml:space="preserve">G2</t>
  </si>
  <si>
    <t xml:space="preserve">Asistencia mutua no penal</t>
  </si>
  <si>
    <t xml:space="preserve">• Separa expresamente la cooperación técnico-operativa de la penal.</t>
  </si>
  <si>
    <t xml:space="preserve">• Habilita auxilio técnico (alertas, contención, recuperación) sin expediente penal previo.</t>
  </si>
  <si>
    <t xml:space="preserve">• Da base legal autónoma para no desplazar todo a los carriles penales lentos.</t>
  </si>
  <si>
    <t xml:space="preserve">G3</t>
  </si>
  <si>
    <t xml:space="preserve">Gestión de crisis y mando</t>
  </si>
  <si>
    <t xml:space="preserve">• Designa autoridad nacional de gestión de cibercrisis (y la coordinadora si hay varias).</t>
  </si>
  <si>
    <t xml:space="preserve">• Exige un plan nacional de respuesta a crisis de gran escala.</t>
  </si>
  <si>
    <t xml:space="preserve">• Conecta el plano operativo con el político y con mecanismos regionales.</t>
  </si>
  <si>
    <t xml:space="preserve">G4</t>
  </si>
  <si>
    <t xml:space="preserve">Medidas restrictivas / respuesta diplomática</t>
  </si>
  <si>
    <t xml:space="preserve">• Institucionaliza el procedimiento de respuesta (no una lista exhaustiva de sanciones).</t>
  </si>
  <si>
    <t xml:space="preserve">• Distingue atribución técnica, atribución político-jurídica y decisión de respuesta.</t>
  </si>
  <si>
    <t xml:space="preserve">• Habilita una gama graduada de medidas con criterios de proporcionalidad/escalada.</t>
  </si>
  <si>
    <t xml:space="preserve">G5</t>
  </si>
  <si>
    <t xml:space="preserve">Interoperabilidad y confidencialidad</t>
  </si>
  <si>
    <t xml:space="preserve">• Reconoce protocolos de sensibilidad (TLP 2.0) para el intercambio.</t>
  </si>
  <si>
    <t xml:space="preserve">• Habilita arreglos formales de re-share (plataformas, automatización, condiciones).</t>
  </si>
  <si>
    <t xml:space="preserve">• Aclara que esos protocolos no sustituyen protección de datos/seguridad nacional/NDAs.</t>
  </si>
  <si>
    <t xml:space="preserve">G6</t>
  </si>
  <si>
    <t xml:space="preserve">Ciberdiplomacia institucionalizada</t>
  </si>
  <si>
    <t xml:space="preserve">• Crea un punto focal de ciberdiplomacia con mandato expreso.</t>
  </si>
  <si>
    <t xml:space="preserve">• Coordina con autoridades de ciberseguridad, defensa, justicia y regulación.</t>
  </si>
  <si>
    <t xml:space="preserve">• Dota de capacidad diplomática especializada desplegable (no oficina en cada misión).</t>
  </si>
  <si>
    <t xml:space="preserve">G7</t>
  </si>
  <si>
    <t xml:space="preserve">Posición sobre derecho internacional en ciberespacio</t>
  </si>
  <si>
    <t xml:space="preserve">• Manda elaborar y publicar una posición nacional sobre derecho internacional en ciberespacio.</t>
  </si>
  <si>
    <t xml:space="preserve">• Asegura coordinación interinstitucional para hablar con una sola voz.</t>
  </si>
  <si>
    <t xml:space="preserve">• Prevé actualización periódica (posición dinámica, no inmutable).</t>
  </si>
  <si>
    <t xml:space="preserve">H</t>
  </si>
  <si>
    <t xml:space="preserve">H1</t>
  </si>
  <si>
    <t xml:space="preserve">Requisitos en contratación pública</t>
  </si>
  <si>
    <t xml:space="preserve">• Exige evidencia de desarrollo seguro (atestación/SSDF) en la compra.</t>
  </si>
  <si>
    <t xml:space="preserve">• Pide SBOM con elementos mínimos y formato utilizable.</t>
  </si>
  <si>
    <t xml:space="preserve">• Exige VDP/CVD y escala la exigencia según criticidad del bien.</t>
  </si>
  <si>
    <t xml:space="preserve">H2</t>
  </si>
  <si>
    <t xml:space="preserve">Clausulados MSP / MSSP</t>
  </si>
  <si>
    <t xml:space="preserve">• Exige due diligence y valoración de concentración/criticidad en la selección.</t>
  </si>
  <si>
    <t xml:space="preserve">• Fija arquitectura contractual mínima (SLA, localización, auditoría basada en riesgo).</t>
  </si>
  <si>
    <t xml:space="preserve">• Obliga asistencia en incidentes, remediación y causales de terminación.</t>
  </si>
  <si>
    <t xml:space="preserve">H3</t>
  </si>
  <si>
    <t xml:space="preserve">Preferencia / inhabilitación</t>
  </si>
  <si>
    <t xml:space="preserve">• Usa la madurez verificable como criterio de elegibilidad/evaluación.</t>
  </si>
  <si>
    <t xml:space="preserve">• Articula con el régimen de compras la exclusión por incumplimiento grave.</t>
  </si>
  <si>
    <t xml:space="preserve">• Conecta con un sistema de proveedores inhabilitados.</t>
  </si>
  <si>
    <t xml:space="preserve">H4</t>
  </si>
  <si>
    <t xml:space="preserve">Fuerza laboral</t>
  </si>
  <si>
    <t xml:space="preserve">• Profesionaliza por perfiles y competencias mínimas (no capacitación genérica).</t>
  </si>
  <si>
    <t xml:space="preserve">• Habilita referenciar marcos (ECSF/NICE) para perfiles y trayectorias.</t>
  </si>
  <si>
    <t xml:space="preserve">• Alcanza a directivos, alta dirección y contratistas críticos, con presupuesto.</t>
  </si>
  <si>
    <t xml:space="preserve">H5</t>
  </si>
  <si>
    <t xml:space="preserve">Apoyos a PYMES</t>
  </si>
  <si>
    <t xml:space="preserve">• Prevé guía y asistencia fácilmente accesibles para PYMES.</t>
  </si>
  <si>
    <t xml:space="preserve">• Crea puntos de contacto y herramientas/servicios concretos.</t>
  </si>
  <si>
    <t xml:space="preserve">• Evita exigir sin apoyar (que la PYME no sea el eslabón débil).</t>
  </si>
  <si>
    <t xml:space="preserve">H6</t>
  </si>
  <si>
    <t xml:space="preserve">Fondo / asistencia a víctimas críticas</t>
  </si>
  <si>
    <t xml:space="preserve">• Habilita asistencia técnica directa a entidades afectadas por incidentes significativos.</t>
  </si>
  <si>
    <t xml:space="preserve">• Apoya respuesta e inicio de recuperación cuando las capacidades ordinarias no bastan.</t>
  </si>
  <si>
    <t xml:space="preserve">• Materializa el apoyo (proveedores precontratados, subvenciones o equivalentes).</t>
  </si>
  <si>
    <t xml:space="preserve">I</t>
  </si>
  <si>
    <t xml:space="preserve">I1</t>
  </si>
  <si>
    <t xml:space="preserve">Presupuesto etiquetado</t>
  </si>
  <si>
    <t xml:space="preserve">• Crea base legal para financiar capacidades (no a mero arbitrio anual).</t>
  </si>
  <si>
    <t xml:space="preserve">• Asegura suficiencia y continuidad (financiamiento estructural y de emergencia).</t>
  </si>
  <si>
    <t xml:space="preserve">• Prevé trazabilidad/etiquetado presupuestario cuando el sistema lo permita.</t>
  </si>
  <si>
    <t xml:space="preserve">I2</t>
  </si>
  <si>
    <t xml:space="preserve">Publicación de estadísticas</t>
  </si>
  <si>
    <t xml:space="preserve">• Recolecta datos de incidentes de forma estructurada.</t>
  </si>
  <si>
    <t xml:space="preserve">• Agrega y anonimiza antes de difundir.</t>
  </si>
  <si>
    <t xml:space="preserve">• Publica periódicamente en formatos reutilizables, con límites de seguridad.</t>
  </si>
  <si>
    <t xml:space="preserve">I3</t>
  </si>
  <si>
    <t xml:space="preserve">Revisión quinquenal</t>
  </si>
  <si>
    <t xml:space="preserve">• Exige revisión periódica (≈5 años) basada en KPIs.</t>
  </si>
  <si>
    <t xml:space="preserve">• Cubre capacidades, implementación real y alineación con el panorama de amenazas.</t>
  </si>
  <si>
    <t xml:space="preserve">• Permite actualización anticipada ante cambios tecnológicos.</t>
  </si>
  <si>
    <t xml:space="preserve">I4</t>
  </si>
  <si>
    <t xml:space="preserve">Estímulos fiscales</t>
  </si>
  <si>
    <t xml:space="preserve">• Los habilita como herramienta focalizada (PYMES/sectores).</t>
  </si>
  <si>
    <t xml:space="preserve">• Exige verificabilidad (gastos elegibles, proveedores certificados).</t>
  </si>
  <si>
    <t xml:space="preserve">• Los hace temporales/revisables (sunset), no subsidio permanente.</t>
  </si>
  <si>
    <t xml:space="preserve">J</t>
  </si>
  <si>
    <t xml:space="preserve">J1</t>
  </si>
  <si>
    <t xml:space="preserve">Anti-SLAPP / buena fe</t>
  </si>
  <si>
    <t xml:space="preserve">• Define operativamente la buena fe (investigar/probar/corregir sin causar daño).</t>
  </si>
  <si>
    <t xml:space="preserve">• Evita el agravamiento de responsabilidad por el solo hecho de reportar.</t>
  </si>
  <si>
    <t xml:space="preserve">• Blinda procesalmente frente a demandas abusivas (cese anticipado, costas).</t>
  </si>
  <si>
    <t xml:space="preserve">J2</t>
  </si>
  <si>
    <t xml:space="preserve">Escalera de cumplimiento</t>
  </si>
  <si>
    <t xml:space="preserve">• Prevé un catálogo gradual (advertir → ordenar → corregir → sancionar → restringir).</t>
  </si>
  <si>
    <t xml:space="preserve">• Fija criterios objetivos de graduación (intencionalidad, gravedad, cooperación...).</t>
  </si>
  <si>
    <t xml:space="preserve">• Intensifica cuando el incumplimiento persiste o afecta a actores sensibles.</t>
  </si>
  <si>
    <t xml:space="preserve">J3</t>
  </si>
  <si>
    <t xml:space="preserve">Procedimiento sancionador y apelación</t>
  </si>
  <si>
    <t xml:space="preserve">• Identifica la autoridad competente y el reparto (evita doble punición / non bis in idem).</t>
  </si>
  <si>
    <t xml:space="preserve">• Garantiza cargos fundados, plazo de descargos y resolución motivada.</t>
  </si>
  <si>
    <t xml:space="preserve">• Prevé recursos ante instancia independiente y cautelares proporcionales.</t>
  </si>
  <si>
    <t xml:space="preserve">J4</t>
  </si>
  <si>
    <t xml:space="preserve">Publicidad proporcional</t>
  </si>
  <si>
    <t xml:space="preserve">• Calibra la publicidad caso por caso (diferir/anonimizar/abstenerse).</t>
  </si>
  <si>
    <t xml:space="preserve">• Distingue publicidad administrativa de divulgación obligatoria al mercado.</t>
  </si>
  <si>
    <t xml:space="preserve">• Coordina con regímenes sectoriales para evitar duplicidad/revictimización.</t>
  </si>
  <si>
    <t xml:space="preserve">Nivel
subpilar</t>
  </si>
  <si>
    <t xml:space="preserve">¿En ley? (≥3)</t>
  </si>
  <si>
    <t xml:space="preserve">Prioridad</t>
  </si>
  <si>
    <t xml:space="preserve">TABLERO DE RESULTADOS</t>
  </si>
  <si>
    <t xml:space="preserve">Se recalcula al cambiar la columna «Nivel» de la hoja Autoevaluación.</t>
  </si>
  <si>
    <t xml:space="preserve">Nivel promedio (0-4)</t>
  </si>
  <si>
    <t xml:space="preserve">Cobertura legal (≥3)</t>
  </si>
  <si>
    <t xml:space="preserve">Madurez operativa (=4)</t>
  </si>
  <si>
    <t xml:space="preserve">Brechas Núcleo abiertas</t>
  </si>
  <si>
    <t xml:space="preserve">Nombre</t>
  </si>
  <si>
    <t xml:space="preserve">Subpilares</t>
  </si>
  <si>
    <t xml:space="preserve">Nivel prom.</t>
  </si>
  <si>
    <t xml:space="preserve">Cobertura ≥3</t>
  </si>
  <si>
    <t xml:space="preserve">Madurez =4</t>
  </si>
  <si>
    <t xml:space="preserve">Brechas Núcleo</t>
  </si>
  <si>
    <t xml:space="preserve">Gobernanza y coordinación nacional</t>
  </si>
  <si>
    <t xml:space="preserve">Capacidades operativas del Estado</t>
  </si>
  <si>
    <t xml:space="preserve">Gestión de riesgos e higiene digital</t>
  </si>
  <si>
    <t xml:space="preserve">Infraestructuras esenciales / sectores críticos</t>
  </si>
  <si>
    <t xml:space="preserve">Reportes y gestión de incidentes</t>
  </si>
  <si>
    <t xml:space="preserve">Seguridad de productos, servicios y certificación</t>
  </si>
  <si>
    <t xml:space="preserve">Cooperación internacional y ciberdiplomacia</t>
  </si>
  <si>
    <t xml:space="preserve">Gobierno, compras públicas y fomento</t>
  </si>
  <si>
    <t xml:space="preserve">Transparencia, presupuesto y sostenibilidad</t>
  </si>
  <si>
    <t xml:space="preserve">Responsabilidades y sanciones</t>
  </si>
  <si>
    <t xml:space="preserve">TOTAL</t>
  </si>
  <si>
    <t xml:space="preserve">Radar (solo Excel/LibreOffice). Para feedback universal, mire los colores de «Nivel prom.» y de la hoja Resumen.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</si>
</sst>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%"/>
    <numFmt numFmtId="168" formatCode="0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11"/>
      <color rgb="FF6B778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B7785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B7785"/>
      <name val="Arial"/>
      <family val="0"/>
      <charset val="1"/>
    </font>
    <font>
      <b val="true"/>
      <sz val="9"/>
      <color rgb="FF6B778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B45309"/>
        <bgColor rgb="FF993366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CE8D5"/>
      </patternFill>
    </fill>
    <fill>
      <patternFill patternType="solid">
        <fgColor rgb="FFFFF2CC"/>
        <bgColor rgb="FFFFF6CC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9D2DC"/>
      </patternFill>
    </fill>
    <fill>
      <patternFill patternType="solid">
        <fgColor rgb="FFFFFFFF"/>
        <bgColor rgb="FFF4F7FA"/>
      </patternFill>
    </fill>
    <fill>
      <patternFill patternType="solid">
        <fgColor rgb="FFFCE8D5"/>
        <bgColor rgb="FFFCE5CD"/>
      </patternFill>
    </fill>
    <fill>
      <patternFill patternType="solid">
        <fgColor rgb="FFFFF6CC"/>
        <bgColor rgb="FFFFF2CC"/>
      </patternFill>
    </fill>
    <fill>
      <patternFill patternType="solid">
        <fgColor rgb="FFF4F7FA"/>
        <bgColor rgb="FFEFEFEF"/>
      </patternFill>
    </fill>
    <fill>
      <patternFill patternType="solid">
        <fgColor rgb="FFE7EEF6"/>
        <bgColor rgb="FFEAF0F6"/>
      </patternFill>
    </fill>
    <fill>
      <patternFill patternType="solid">
        <fgColor rgb="FFEFEFEF"/>
        <bgColor rgb="FFEAF0F6"/>
      </patternFill>
    </fill>
    <fill>
      <patternFill patternType="solid">
        <fgColor rgb="FFEAF0F6"/>
        <bgColor rgb="FFE7EE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/>
      <bottom/>
      <diagonal/>
    </border>
    <border diagonalUp="false" diagonalDown="false">
      <left/>
      <right/>
      <top style="thin">
        <color rgb="FFC9D2DC"/>
      </top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fgColor rgb="FFE7EEF6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CE8D5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4737A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FFD27A"/>
          <bgColor rgb="FF00000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F4737A"/>
        </patternFill>
      </fill>
    </dxf>
    <dxf>
      <fill>
        <patternFill>
          <bgColor rgb="FFFFD27A"/>
        </patternFill>
      </fill>
    </dxf>
    <dxf>
      <font>
        <name val="Arial"/>
        <charset val="1"/>
        <family val="0"/>
        <color rgb="FF38761D"/>
        <sz val="9"/>
      </font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8D5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6D7A8"/>
      <rgbColor rgb="FF878787"/>
      <rgbColor rgb="FFF4F7FA"/>
      <rgbColor rgb="FF993366"/>
      <rgbColor rgb="FFFFF6CC"/>
      <rgbColor rgb="FFE7EEF6"/>
      <rgbColor rgb="FF660066"/>
      <rgbColor rgb="FFF4737A"/>
      <rgbColor rgb="FF0066CC"/>
      <rgbColor rgb="FFC9D2DC"/>
      <rgbColor rgb="FF000080"/>
      <rgbColor rgb="FFFF00FF"/>
      <rgbColor rgb="FFEFEFEF"/>
      <rgbColor rgb="FF00FFFF"/>
      <rgbColor rgb="FF800080"/>
      <rgbColor rgb="FF800000"/>
      <rgbColor rgb="FF008080"/>
      <rgbColor rgb="FF0000FF"/>
      <rgbColor rgb="FF00CCFF"/>
      <rgbColor rgb="FFEAF0F6"/>
      <rgbColor rgb="FFD9EAD3"/>
      <rgbColor rgb="FFFFF2CC"/>
      <rgbColor rgb="FFD9D9D9"/>
      <rgbColor rgb="FFF4CCCC"/>
      <rgbColor rgb="FFFCE5CD"/>
      <rgbColor rgb="FFFFD27A"/>
      <rgbColor rgb="FF4F81BD"/>
      <rgbColor rgb="FF33CCCC"/>
      <rgbColor rgb="FF99CC00"/>
      <rgbColor rgb="FFFFCC00"/>
      <rgbColor rgb="FFFF9900"/>
      <rgbColor rgb="FFFF6600"/>
      <rgbColor rgb="FF6B7785"/>
      <rgbColor rgb="FF969696"/>
      <rgbColor rgb="FF1F3A5F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Nivel de madurez por pilar (0-4)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Tablero!E9</c:f>
              <c:strCache>
                <c:ptCount val="1"/>
                <c:pt idx="0">
                  <c:v>Nivel prom.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Tablero!$B$10:$B$19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Tablero!$E$10:$E$19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63893402"/>
        <c:axId val="33963031"/>
      </c:radarChart>
      <c:catAx>
        <c:axId val="638934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63031"/>
        <c:crosses val="autoZero"/>
        <c:auto val="1"/>
        <c:lblAlgn val="ctr"/>
        <c:lblOffset val="100"/>
        <c:noMultiLvlLbl val="0"/>
      </c:catAx>
      <c:valAx>
        <c:axId val="33963031"/>
        <c:scaling>
          <c:orientation val="minMax"/>
          <c:max val="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9340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37440</xdr:rowOff>
    </xdr:from>
    <xdr:to>
      <xdr:col>4</xdr:col>
      <xdr:colOff>105480</xdr:colOff>
      <xdr:row>39</xdr:row>
      <xdr:rowOff>17640</xdr:rowOff>
    </xdr:to>
    <xdr:graphicFrame>
      <xdr:nvGraphicFramePr>
        <xdr:cNvPr id="0" name="Chart 1"/>
        <xdr:cNvGraphicFramePr/>
      </xdr:nvGraphicFramePr>
      <xdr:xfrm>
        <a:off x="211320" y="43052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1" customFormat="false" ht="7.5" hidden="false" customHeight="true" outlineLevel="0" collapsed="false"/>
    <row r="2" customFormat="false" ht="41.7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6" hidden="false" customHeight="true" outlineLevel="0" collapsed="false"/>
    <row r="5" customFormat="false" ht="25.5" hidden="false" customHeight="tru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6" hidden="false" customHeight="true" outlineLevel="0" collapsed="false">
      <c r="B10" s="5"/>
    </row>
    <row r="11" customFormat="false" ht="25.5" hidden="false" customHeight="true" outlineLevel="0" collapsed="false">
      <c r="B11" s="6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6" hidden="false" customHeight="true" outlineLevel="0" collapsed="false">
      <c r="B16" s="5"/>
    </row>
    <row r="17" customFormat="false" ht="25.5" hidden="false" customHeight="true" outlineLevel="0" collapsed="false">
      <c r="B17" s="3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6" hidden="false" customHeight="true" outlineLevel="0" collapsed="false">
      <c r="B20" s="5"/>
    </row>
    <row r="21" customFormat="false" ht="25.5" hidden="false" customHeight="true" outlineLevel="0" collapsed="false">
      <c r="B21" s="3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7" t="s">
        <v>18</v>
      </c>
    </row>
    <row r="25" customFormat="false" ht="15" hidden="false" customHeight="false" outlineLevel="0" collapsed="false">
      <c r="B2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9" t="s">
        <v>19</v>
      </c>
    </row>
    <row r="3" customFormat="false" ht="15" hidden="false" customHeight="false" outlineLevel="0" collapsed="false">
      <c r="A3" s="10" t="s">
        <v>20</v>
      </c>
      <c r="B3" s="10" t="s">
        <v>21</v>
      </c>
      <c r="C3" s="10" t="s">
        <v>22</v>
      </c>
    </row>
    <row r="4" customFormat="false" ht="33.75" hidden="false" customHeight="true" outlineLevel="0" collapsed="false">
      <c r="A4" s="11" t="n">
        <v>0</v>
      </c>
      <c r="B4" s="12" t="s">
        <v>23</v>
      </c>
      <c r="C4" s="12" t="s">
        <v>24</v>
      </c>
    </row>
    <row r="5" customFormat="false" ht="33.75" hidden="false" customHeight="true" outlineLevel="0" collapsed="false">
      <c r="A5" s="13" t="n">
        <v>1</v>
      </c>
      <c r="B5" s="14" t="s">
        <v>25</v>
      </c>
      <c r="C5" s="14" t="s">
        <v>26</v>
      </c>
    </row>
    <row r="6" customFormat="false" ht="33.75" hidden="false" customHeight="true" outlineLevel="0" collapsed="false">
      <c r="A6" s="15" t="n">
        <v>2</v>
      </c>
      <c r="B6" s="16" t="s">
        <v>27</v>
      </c>
      <c r="C6" s="16" t="s">
        <v>28</v>
      </c>
    </row>
    <row r="7" customFormat="false" ht="33.75" hidden="false" customHeight="true" outlineLevel="0" collapsed="false">
      <c r="A7" s="17" t="n">
        <v>3</v>
      </c>
      <c r="B7" s="18" t="s">
        <v>29</v>
      </c>
      <c r="C7" s="18" t="s">
        <v>30</v>
      </c>
    </row>
    <row r="8" customFormat="false" ht="33.75" hidden="false" customHeight="true" outlineLevel="0" collapsed="false">
      <c r="A8" s="19" t="n">
        <v>4</v>
      </c>
      <c r="B8" s="20" t="s">
        <v>31</v>
      </c>
      <c r="C8" s="20" t="s">
        <v>32</v>
      </c>
    </row>
    <row r="10" customFormat="false" ht="15" hidden="false" customHeight="false" outlineLevel="0" collapsed="false">
      <c r="A10" s="2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70"/>
    <col collapsed="false" customWidth="true" hidden="false" outlineLevel="0" max="6" min="6" style="0" width="8"/>
    <col collapsed="false" customWidth="true" hidden="false" outlineLevel="0" max="8" min="7" style="0" width="32"/>
  </cols>
  <sheetData>
    <row r="1" customFormat="false" ht="30" hidden="false" customHeight="true" outlineLevel="0" collapsed="false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</row>
    <row r="2" customFormat="false" ht="30" hidden="false" customHeight="true" outlineLevel="0" collapsed="false">
      <c r="A2" s="22" t="s">
        <v>42</v>
      </c>
      <c r="B2" s="22" t="s">
        <v>43</v>
      </c>
      <c r="C2" s="23" t="s">
        <v>44</v>
      </c>
      <c r="D2" s="24" t="s">
        <v>45</v>
      </c>
      <c r="E2" s="23" t="s">
        <v>46</v>
      </c>
      <c r="F2" s="25" t="n">
        <v>0</v>
      </c>
      <c r="G2" s="26"/>
      <c r="H2" s="26"/>
    </row>
    <row r="3" customFormat="false" ht="30" hidden="false" customHeight="true" outlineLevel="0" collapsed="false">
      <c r="A3" s="22"/>
      <c r="B3" s="22" t="s">
        <v>43</v>
      </c>
      <c r="C3" s="23"/>
      <c r="D3" s="22"/>
      <c r="E3" s="23" t="s">
        <v>47</v>
      </c>
      <c r="F3" s="25" t="n">
        <v>0</v>
      </c>
      <c r="G3" s="26"/>
      <c r="H3" s="26"/>
    </row>
    <row r="4" customFormat="false" ht="30" hidden="false" customHeight="true" outlineLevel="0" collapsed="false">
      <c r="A4" s="22"/>
      <c r="B4" s="22" t="s">
        <v>43</v>
      </c>
      <c r="C4" s="23"/>
      <c r="D4" s="22"/>
      <c r="E4" s="23" t="s">
        <v>48</v>
      </c>
      <c r="F4" s="25" t="n">
        <v>0</v>
      </c>
      <c r="G4" s="26"/>
      <c r="H4" s="26"/>
    </row>
    <row r="5" customFormat="false" ht="30" hidden="false" customHeight="true" outlineLevel="0" collapsed="false">
      <c r="A5" s="22" t="s">
        <v>42</v>
      </c>
      <c r="B5" s="22" t="s">
        <v>49</v>
      </c>
      <c r="C5" s="27" t="s">
        <v>50</v>
      </c>
      <c r="D5" s="24" t="s">
        <v>45</v>
      </c>
      <c r="E5" s="27" t="s">
        <v>51</v>
      </c>
      <c r="F5" s="25" t="n">
        <v>0</v>
      </c>
      <c r="G5" s="26"/>
      <c r="H5" s="26"/>
    </row>
    <row r="6" customFormat="false" ht="30" hidden="false" customHeight="true" outlineLevel="0" collapsed="false">
      <c r="A6" s="22"/>
      <c r="B6" s="22" t="s">
        <v>49</v>
      </c>
      <c r="C6" s="27"/>
      <c r="D6" s="22"/>
      <c r="E6" s="27" t="s">
        <v>52</v>
      </c>
      <c r="F6" s="25" t="n">
        <v>0</v>
      </c>
      <c r="G6" s="26"/>
      <c r="H6" s="26"/>
    </row>
    <row r="7" customFormat="false" ht="30" hidden="false" customHeight="true" outlineLevel="0" collapsed="false">
      <c r="A7" s="22"/>
      <c r="B7" s="22" t="s">
        <v>49</v>
      </c>
      <c r="C7" s="27"/>
      <c r="D7" s="22"/>
      <c r="E7" s="27" t="s">
        <v>53</v>
      </c>
      <c r="F7" s="25" t="n">
        <v>0</v>
      </c>
      <c r="G7" s="26"/>
      <c r="H7" s="26"/>
    </row>
    <row r="8" customFormat="false" ht="30" hidden="false" customHeight="true" outlineLevel="0" collapsed="false">
      <c r="A8" s="22" t="s">
        <v>42</v>
      </c>
      <c r="B8" s="22" t="s">
        <v>54</v>
      </c>
      <c r="C8" s="23" t="s">
        <v>55</v>
      </c>
      <c r="D8" s="24" t="s">
        <v>45</v>
      </c>
      <c r="E8" s="23" t="s">
        <v>56</v>
      </c>
      <c r="F8" s="25" t="n">
        <v>0</v>
      </c>
      <c r="G8" s="26"/>
      <c r="H8" s="26"/>
    </row>
    <row r="9" customFormat="false" ht="30" hidden="false" customHeight="true" outlineLevel="0" collapsed="false">
      <c r="A9" s="22"/>
      <c r="B9" s="22" t="s">
        <v>54</v>
      </c>
      <c r="C9" s="23"/>
      <c r="D9" s="22"/>
      <c r="E9" s="23" t="s">
        <v>57</v>
      </c>
      <c r="F9" s="25" t="n">
        <v>0</v>
      </c>
      <c r="G9" s="26"/>
      <c r="H9" s="26"/>
    </row>
    <row r="10" customFormat="false" ht="30" hidden="false" customHeight="true" outlineLevel="0" collapsed="false">
      <c r="A10" s="22"/>
      <c r="B10" s="22" t="s">
        <v>54</v>
      </c>
      <c r="C10" s="23"/>
      <c r="D10" s="22"/>
      <c r="E10" s="23" t="s">
        <v>58</v>
      </c>
      <c r="F10" s="25" t="n">
        <v>0</v>
      </c>
      <c r="G10" s="26"/>
      <c r="H10" s="26"/>
    </row>
    <row r="11" customFormat="false" ht="30" hidden="false" customHeight="true" outlineLevel="0" collapsed="false">
      <c r="A11" s="22" t="s">
        <v>42</v>
      </c>
      <c r="B11" s="22" t="s">
        <v>59</v>
      </c>
      <c r="C11" s="27" t="s">
        <v>60</v>
      </c>
      <c r="D11" s="24" t="s">
        <v>45</v>
      </c>
      <c r="E11" s="27" t="s">
        <v>61</v>
      </c>
      <c r="F11" s="25" t="n">
        <v>0</v>
      </c>
      <c r="G11" s="26"/>
      <c r="H11" s="26"/>
    </row>
    <row r="12" customFormat="false" ht="30" hidden="false" customHeight="true" outlineLevel="0" collapsed="false">
      <c r="A12" s="22"/>
      <c r="B12" s="22" t="s">
        <v>59</v>
      </c>
      <c r="C12" s="27"/>
      <c r="D12" s="22"/>
      <c r="E12" s="27" t="s">
        <v>62</v>
      </c>
      <c r="F12" s="25" t="n">
        <v>0</v>
      </c>
      <c r="G12" s="26"/>
      <c r="H12" s="26"/>
    </row>
    <row r="13" customFormat="false" ht="30" hidden="false" customHeight="true" outlineLevel="0" collapsed="false">
      <c r="A13" s="22"/>
      <c r="B13" s="22" t="s">
        <v>59</v>
      </c>
      <c r="C13" s="27"/>
      <c r="D13" s="22"/>
      <c r="E13" s="27" t="s">
        <v>63</v>
      </c>
      <c r="F13" s="25" t="n">
        <v>0</v>
      </c>
      <c r="G13" s="26"/>
      <c r="H13" s="26"/>
    </row>
    <row r="14" customFormat="false" ht="30" hidden="false" customHeight="true" outlineLevel="0" collapsed="false">
      <c r="A14" s="22" t="s">
        <v>42</v>
      </c>
      <c r="B14" s="22" t="s">
        <v>64</v>
      </c>
      <c r="C14" s="23" t="s">
        <v>65</v>
      </c>
      <c r="D14" s="24" t="s">
        <v>45</v>
      </c>
      <c r="E14" s="23" t="s">
        <v>66</v>
      </c>
      <c r="F14" s="25" t="n">
        <v>0</v>
      </c>
      <c r="G14" s="26"/>
      <c r="H14" s="26"/>
    </row>
    <row r="15" customFormat="false" ht="30" hidden="false" customHeight="true" outlineLevel="0" collapsed="false">
      <c r="A15" s="22"/>
      <c r="B15" s="22" t="s">
        <v>64</v>
      </c>
      <c r="C15" s="23"/>
      <c r="D15" s="22"/>
      <c r="E15" s="23" t="s">
        <v>67</v>
      </c>
      <c r="F15" s="25" t="n">
        <v>0</v>
      </c>
      <c r="G15" s="26"/>
      <c r="H15" s="26"/>
    </row>
    <row r="16" customFormat="false" ht="30" hidden="false" customHeight="true" outlineLevel="0" collapsed="false">
      <c r="A16" s="22"/>
      <c r="B16" s="22" t="s">
        <v>64</v>
      </c>
      <c r="C16" s="23"/>
      <c r="D16" s="22"/>
      <c r="E16" s="23" t="s">
        <v>68</v>
      </c>
      <c r="F16" s="25" t="n">
        <v>0</v>
      </c>
      <c r="G16" s="26"/>
      <c r="H16" s="26"/>
    </row>
    <row r="17" customFormat="false" ht="30" hidden="false" customHeight="true" outlineLevel="0" collapsed="false">
      <c r="A17" s="22" t="s">
        <v>42</v>
      </c>
      <c r="B17" s="22" t="s">
        <v>69</v>
      </c>
      <c r="C17" s="27" t="s">
        <v>70</v>
      </c>
      <c r="D17" s="28" t="s">
        <v>71</v>
      </c>
      <c r="E17" s="27" t="s">
        <v>72</v>
      </c>
      <c r="F17" s="25" t="n">
        <v>0</v>
      </c>
      <c r="G17" s="26"/>
      <c r="H17" s="26"/>
    </row>
    <row r="18" customFormat="false" ht="30" hidden="false" customHeight="true" outlineLevel="0" collapsed="false">
      <c r="A18" s="22"/>
      <c r="B18" s="22" t="s">
        <v>69</v>
      </c>
      <c r="C18" s="27"/>
      <c r="D18" s="22"/>
      <c r="E18" s="27" t="s">
        <v>73</v>
      </c>
      <c r="F18" s="25" t="n">
        <v>0</v>
      </c>
      <c r="G18" s="26"/>
      <c r="H18" s="26"/>
    </row>
    <row r="19" customFormat="false" ht="30" hidden="false" customHeight="true" outlineLevel="0" collapsed="false">
      <c r="A19" s="22"/>
      <c r="B19" s="22" t="s">
        <v>69</v>
      </c>
      <c r="C19" s="27"/>
      <c r="D19" s="22"/>
      <c r="E19" s="27" t="s">
        <v>74</v>
      </c>
      <c r="F19" s="25" t="n">
        <v>0</v>
      </c>
      <c r="G19" s="26"/>
      <c r="H19" s="26"/>
    </row>
    <row r="20" customFormat="false" ht="30" hidden="false" customHeight="true" outlineLevel="0" collapsed="false">
      <c r="A20" s="22" t="s">
        <v>42</v>
      </c>
      <c r="B20" s="22" t="s">
        <v>75</v>
      </c>
      <c r="C20" s="23" t="s">
        <v>76</v>
      </c>
      <c r="D20" s="24" t="s">
        <v>45</v>
      </c>
      <c r="E20" s="23" t="s">
        <v>77</v>
      </c>
      <c r="F20" s="25" t="n">
        <v>0</v>
      </c>
      <c r="G20" s="26"/>
      <c r="H20" s="26"/>
    </row>
    <row r="21" customFormat="false" ht="30" hidden="false" customHeight="true" outlineLevel="0" collapsed="false">
      <c r="A21" s="22"/>
      <c r="B21" s="22" t="s">
        <v>75</v>
      </c>
      <c r="C21" s="23"/>
      <c r="D21" s="22"/>
      <c r="E21" s="23" t="s">
        <v>78</v>
      </c>
      <c r="F21" s="25" t="n">
        <v>0</v>
      </c>
      <c r="G21" s="26"/>
      <c r="H21" s="26"/>
    </row>
    <row r="22" customFormat="false" ht="30" hidden="false" customHeight="true" outlineLevel="0" collapsed="false">
      <c r="A22" s="22"/>
      <c r="B22" s="22" t="s">
        <v>75</v>
      </c>
      <c r="C22" s="23"/>
      <c r="D22" s="22"/>
      <c r="E22" s="23" t="s">
        <v>79</v>
      </c>
      <c r="F22" s="25" t="n">
        <v>0</v>
      </c>
      <c r="G22" s="26"/>
      <c r="H22" s="26"/>
    </row>
    <row r="23" customFormat="false" ht="30" hidden="false" customHeight="true" outlineLevel="0" collapsed="false">
      <c r="A23" s="22" t="s">
        <v>42</v>
      </c>
      <c r="B23" s="22" t="s">
        <v>80</v>
      </c>
      <c r="C23" s="27" t="s">
        <v>81</v>
      </c>
      <c r="D23" s="28" t="s">
        <v>71</v>
      </c>
      <c r="E23" s="27" t="s">
        <v>82</v>
      </c>
      <c r="F23" s="25" t="n">
        <v>0</v>
      </c>
      <c r="G23" s="26"/>
      <c r="H23" s="26"/>
    </row>
    <row r="24" customFormat="false" ht="30" hidden="false" customHeight="true" outlineLevel="0" collapsed="false">
      <c r="A24" s="22"/>
      <c r="B24" s="22" t="s">
        <v>80</v>
      </c>
      <c r="C24" s="27"/>
      <c r="D24" s="22"/>
      <c r="E24" s="27" t="s">
        <v>83</v>
      </c>
      <c r="F24" s="25" t="n">
        <v>0</v>
      </c>
      <c r="G24" s="26"/>
      <c r="H24" s="26"/>
    </row>
    <row r="25" customFormat="false" ht="30" hidden="false" customHeight="true" outlineLevel="0" collapsed="false">
      <c r="A25" s="22"/>
      <c r="B25" s="22" t="s">
        <v>80</v>
      </c>
      <c r="C25" s="27"/>
      <c r="D25" s="22"/>
      <c r="E25" s="27" t="s">
        <v>84</v>
      </c>
      <c r="F25" s="25" t="n">
        <v>0</v>
      </c>
      <c r="G25" s="26"/>
      <c r="H25" s="26"/>
    </row>
    <row r="26" customFormat="false" ht="30" hidden="false" customHeight="true" outlineLevel="0" collapsed="false">
      <c r="A26" s="22" t="s">
        <v>42</v>
      </c>
      <c r="B26" s="22" t="s">
        <v>85</v>
      </c>
      <c r="C26" s="23" t="s">
        <v>86</v>
      </c>
      <c r="D26" s="28" t="s">
        <v>71</v>
      </c>
      <c r="E26" s="23" t="s">
        <v>87</v>
      </c>
      <c r="F26" s="25" t="n">
        <v>0</v>
      </c>
      <c r="G26" s="26"/>
      <c r="H26" s="26"/>
    </row>
    <row r="27" customFormat="false" ht="30" hidden="false" customHeight="true" outlineLevel="0" collapsed="false">
      <c r="A27" s="22"/>
      <c r="B27" s="22" t="s">
        <v>85</v>
      </c>
      <c r="C27" s="23"/>
      <c r="D27" s="22"/>
      <c r="E27" s="23" t="s">
        <v>88</v>
      </c>
      <c r="F27" s="25" t="n">
        <v>0</v>
      </c>
      <c r="G27" s="26"/>
      <c r="H27" s="26"/>
    </row>
    <row r="28" customFormat="false" ht="30" hidden="false" customHeight="true" outlineLevel="0" collapsed="false">
      <c r="A28" s="22"/>
      <c r="B28" s="22" t="s">
        <v>85</v>
      </c>
      <c r="C28" s="23"/>
      <c r="D28" s="22"/>
      <c r="E28" s="23" t="s">
        <v>89</v>
      </c>
      <c r="F28" s="25" t="n">
        <v>0</v>
      </c>
      <c r="G28" s="26"/>
      <c r="H28" s="26"/>
    </row>
    <row r="29" customFormat="false" ht="30" hidden="false" customHeight="true" outlineLevel="0" collapsed="false">
      <c r="A29" s="22" t="s">
        <v>42</v>
      </c>
      <c r="B29" s="22" t="s">
        <v>90</v>
      </c>
      <c r="C29" s="27" t="s">
        <v>91</v>
      </c>
      <c r="D29" s="29" t="s">
        <v>92</v>
      </c>
      <c r="E29" s="27" t="s">
        <v>93</v>
      </c>
      <c r="F29" s="25" t="n">
        <v>0</v>
      </c>
      <c r="G29" s="26"/>
      <c r="H29" s="26"/>
    </row>
    <row r="30" customFormat="false" ht="30" hidden="false" customHeight="true" outlineLevel="0" collapsed="false">
      <c r="A30" s="22"/>
      <c r="B30" s="22" t="s">
        <v>90</v>
      </c>
      <c r="C30" s="27"/>
      <c r="D30" s="22"/>
      <c r="E30" s="27" t="s">
        <v>94</v>
      </c>
      <c r="F30" s="25" t="n">
        <v>0</v>
      </c>
      <c r="G30" s="26"/>
      <c r="H30" s="26"/>
    </row>
    <row r="31" customFormat="false" ht="30" hidden="false" customHeight="true" outlineLevel="0" collapsed="false">
      <c r="A31" s="22"/>
      <c r="B31" s="22" t="s">
        <v>90</v>
      </c>
      <c r="C31" s="27"/>
      <c r="D31" s="22"/>
      <c r="E31" s="27" t="s">
        <v>95</v>
      </c>
      <c r="F31" s="25" t="n">
        <v>0</v>
      </c>
      <c r="G31" s="26"/>
      <c r="H31" s="26"/>
    </row>
    <row r="32" customFormat="false" ht="30" hidden="false" customHeight="true" outlineLevel="0" collapsed="false">
      <c r="A32" s="22" t="s">
        <v>96</v>
      </c>
      <c r="B32" s="22" t="s">
        <v>97</v>
      </c>
      <c r="C32" s="23" t="s">
        <v>98</v>
      </c>
      <c r="D32" s="24" t="s">
        <v>45</v>
      </c>
      <c r="E32" s="23" t="s">
        <v>99</v>
      </c>
      <c r="F32" s="25" t="n">
        <v>0</v>
      </c>
      <c r="G32" s="26"/>
      <c r="H32" s="26"/>
    </row>
    <row r="33" customFormat="false" ht="30" hidden="false" customHeight="true" outlineLevel="0" collapsed="false">
      <c r="A33" s="22"/>
      <c r="B33" s="22" t="s">
        <v>97</v>
      </c>
      <c r="C33" s="23"/>
      <c r="D33" s="22"/>
      <c r="E33" s="23" t="s">
        <v>100</v>
      </c>
      <c r="F33" s="25" t="n">
        <v>0</v>
      </c>
      <c r="G33" s="26"/>
      <c r="H33" s="26"/>
    </row>
    <row r="34" customFormat="false" ht="30" hidden="false" customHeight="true" outlineLevel="0" collapsed="false">
      <c r="A34" s="22"/>
      <c r="B34" s="22" t="s">
        <v>97</v>
      </c>
      <c r="C34" s="23"/>
      <c r="D34" s="22"/>
      <c r="E34" s="23" t="s">
        <v>101</v>
      </c>
      <c r="F34" s="25" t="n">
        <v>0</v>
      </c>
      <c r="G34" s="26"/>
      <c r="H34" s="26"/>
    </row>
    <row r="35" customFormat="false" ht="30" hidden="false" customHeight="true" outlineLevel="0" collapsed="false">
      <c r="A35" s="22" t="s">
        <v>96</v>
      </c>
      <c r="B35" s="22" t="s">
        <v>102</v>
      </c>
      <c r="C35" s="27" t="s">
        <v>103</v>
      </c>
      <c r="D35" s="24" t="s">
        <v>45</v>
      </c>
      <c r="E35" s="27" t="s">
        <v>104</v>
      </c>
      <c r="F35" s="25" t="n">
        <v>0</v>
      </c>
      <c r="G35" s="26"/>
      <c r="H35" s="26"/>
    </row>
    <row r="36" customFormat="false" ht="30" hidden="false" customHeight="true" outlineLevel="0" collapsed="false">
      <c r="A36" s="22"/>
      <c r="B36" s="22" t="s">
        <v>102</v>
      </c>
      <c r="C36" s="27"/>
      <c r="D36" s="22"/>
      <c r="E36" s="27" t="s">
        <v>105</v>
      </c>
      <c r="F36" s="25" t="n">
        <v>0</v>
      </c>
      <c r="G36" s="26"/>
      <c r="H36" s="26"/>
    </row>
    <row r="37" customFormat="false" ht="30" hidden="false" customHeight="true" outlineLevel="0" collapsed="false">
      <c r="A37" s="22"/>
      <c r="B37" s="22" t="s">
        <v>102</v>
      </c>
      <c r="C37" s="27"/>
      <c r="D37" s="22"/>
      <c r="E37" s="27" t="s">
        <v>106</v>
      </c>
      <c r="F37" s="25" t="n">
        <v>0</v>
      </c>
      <c r="G37" s="26"/>
      <c r="H37" s="26"/>
    </row>
    <row r="38" customFormat="false" ht="30" hidden="false" customHeight="true" outlineLevel="0" collapsed="false">
      <c r="A38" s="22" t="s">
        <v>96</v>
      </c>
      <c r="B38" s="22" t="s">
        <v>107</v>
      </c>
      <c r="C38" s="23" t="s">
        <v>108</v>
      </c>
      <c r="D38" s="28" t="s">
        <v>71</v>
      </c>
      <c r="E38" s="23" t="s">
        <v>109</v>
      </c>
      <c r="F38" s="25" t="n">
        <v>0</v>
      </c>
      <c r="G38" s="26"/>
      <c r="H38" s="26"/>
    </row>
    <row r="39" customFormat="false" ht="30" hidden="false" customHeight="true" outlineLevel="0" collapsed="false">
      <c r="A39" s="22"/>
      <c r="B39" s="22" t="s">
        <v>107</v>
      </c>
      <c r="C39" s="23"/>
      <c r="D39" s="22"/>
      <c r="E39" s="23" t="s">
        <v>110</v>
      </c>
      <c r="F39" s="25" t="n">
        <v>0</v>
      </c>
      <c r="G39" s="26"/>
      <c r="H39" s="26"/>
    </row>
    <row r="40" customFormat="false" ht="30" hidden="false" customHeight="true" outlineLevel="0" collapsed="false">
      <c r="A40" s="22"/>
      <c r="B40" s="22" t="s">
        <v>107</v>
      </c>
      <c r="C40" s="23"/>
      <c r="D40" s="22"/>
      <c r="E40" s="23" t="s">
        <v>111</v>
      </c>
      <c r="F40" s="25" t="n">
        <v>0</v>
      </c>
      <c r="G40" s="26"/>
      <c r="H40" s="26"/>
    </row>
    <row r="41" customFormat="false" ht="30" hidden="false" customHeight="true" outlineLevel="0" collapsed="false">
      <c r="A41" s="22" t="s">
        <v>96</v>
      </c>
      <c r="B41" s="22" t="s">
        <v>112</v>
      </c>
      <c r="C41" s="27" t="s">
        <v>113</v>
      </c>
      <c r="D41" s="29" t="s">
        <v>92</v>
      </c>
      <c r="E41" s="27" t="s">
        <v>114</v>
      </c>
      <c r="F41" s="25" t="n">
        <v>0</v>
      </c>
      <c r="G41" s="26"/>
      <c r="H41" s="26"/>
    </row>
    <row r="42" customFormat="false" ht="30" hidden="false" customHeight="true" outlineLevel="0" collapsed="false">
      <c r="A42" s="22"/>
      <c r="B42" s="22" t="s">
        <v>112</v>
      </c>
      <c r="C42" s="27"/>
      <c r="D42" s="22"/>
      <c r="E42" s="27" t="s">
        <v>115</v>
      </c>
      <c r="F42" s="25" t="n">
        <v>0</v>
      </c>
      <c r="G42" s="26"/>
      <c r="H42" s="26"/>
    </row>
    <row r="43" customFormat="false" ht="30" hidden="false" customHeight="true" outlineLevel="0" collapsed="false">
      <c r="A43" s="22"/>
      <c r="B43" s="22" t="s">
        <v>112</v>
      </c>
      <c r="C43" s="27"/>
      <c r="D43" s="22"/>
      <c r="E43" s="27" t="s">
        <v>116</v>
      </c>
      <c r="F43" s="25" t="n">
        <v>0</v>
      </c>
      <c r="G43" s="26"/>
      <c r="H43" s="26"/>
    </row>
    <row r="44" customFormat="false" ht="30" hidden="false" customHeight="true" outlineLevel="0" collapsed="false">
      <c r="A44" s="22" t="s">
        <v>96</v>
      </c>
      <c r="B44" s="22" t="s">
        <v>117</v>
      </c>
      <c r="C44" s="23" t="s">
        <v>118</v>
      </c>
      <c r="D44" s="28" t="s">
        <v>71</v>
      </c>
      <c r="E44" s="23" t="s">
        <v>119</v>
      </c>
      <c r="F44" s="25" t="n">
        <v>0</v>
      </c>
      <c r="G44" s="26"/>
      <c r="H44" s="26"/>
    </row>
    <row r="45" customFormat="false" ht="30" hidden="false" customHeight="true" outlineLevel="0" collapsed="false">
      <c r="A45" s="22"/>
      <c r="B45" s="22" t="s">
        <v>117</v>
      </c>
      <c r="C45" s="23"/>
      <c r="D45" s="22"/>
      <c r="E45" s="23" t="s">
        <v>120</v>
      </c>
      <c r="F45" s="25" t="n">
        <v>0</v>
      </c>
      <c r="G45" s="26"/>
      <c r="H45" s="26"/>
    </row>
    <row r="46" customFormat="false" ht="30" hidden="false" customHeight="true" outlineLevel="0" collapsed="false">
      <c r="A46" s="22"/>
      <c r="B46" s="22" t="s">
        <v>117</v>
      </c>
      <c r="C46" s="23"/>
      <c r="D46" s="22"/>
      <c r="E46" s="23" t="s">
        <v>121</v>
      </c>
      <c r="F46" s="25" t="n">
        <v>0</v>
      </c>
      <c r="G46" s="26"/>
      <c r="H46" s="26"/>
    </row>
    <row r="47" customFormat="false" ht="30" hidden="false" customHeight="true" outlineLevel="0" collapsed="false">
      <c r="A47" s="22" t="s">
        <v>122</v>
      </c>
      <c r="B47" s="22" t="s">
        <v>123</v>
      </c>
      <c r="C47" s="27" t="s">
        <v>124</v>
      </c>
      <c r="D47" s="24" t="s">
        <v>45</v>
      </c>
      <c r="E47" s="27" t="s">
        <v>125</v>
      </c>
      <c r="F47" s="25" t="n">
        <v>0</v>
      </c>
      <c r="G47" s="26"/>
      <c r="H47" s="26"/>
    </row>
    <row r="48" customFormat="false" ht="30" hidden="false" customHeight="true" outlineLevel="0" collapsed="false">
      <c r="A48" s="22"/>
      <c r="B48" s="22" t="s">
        <v>123</v>
      </c>
      <c r="C48" s="27"/>
      <c r="D48" s="22"/>
      <c r="E48" s="27" t="s">
        <v>126</v>
      </c>
      <c r="F48" s="25" t="n">
        <v>0</v>
      </c>
      <c r="G48" s="26"/>
      <c r="H48" s="26"/>
    </row>
    <row r="49" customFormat="false" ht="30" hidden="false" customHeight="true" outlineLevel="0" collapsed="false">
      <c r="A49" s="22"/>
      <c r="B49" s="22" t="s">
        <v>123</v>
      </c>
      <c r="C49" s="27"/>
      <c r="D49" s="22"/>
      <c r="E49" s="27" t="s">
        <v>127</v>
      </c>
      <c r="F49" s="25" t="n">
        <v>0</v>
      </c>
      <c r="G49" s="26"/>
      <c r="H49" s="26"/>
    </row>
    <row r="50" customFormat="false" ht="30" hidden="false" customHeight="true" outlineLevel="0" collapsed="false">
      <c r="A50" s="22" t="s">
        <v>122</v>
      </c>
      <c r="B50" s="22" t="s">
        <v>128</v>
      </c>
      <c r="C50" s="23" t="s">
        <v>129</v>
      </c>
      <c r="D50" s="24" t="s">
        <v>45</v>
      </c>
      <c r="E50" s="23" t="s">
        <v>130</v>
      </c>
      <c r="F50" s="25" t="n">
        <v>0</v>
      </c>
      <c r="G50" s="26"/>
      <c r="H50" s="26"/>
    </row>
    <row r="51" customFormat="false" ht="30" hidden="false" customHeight="true" outlineLevel="0" collapsed="false">
      <c r="A51" s="22"/>
      <c r="B51" s="22" t="s">
        <v>128</v>
      </c>
      <c r="C51" s="23"/>
      <c r="D51" s="22"/>
      <c r="E51" s="23" t="s">
        <v>131</v>
      </c>
      <c r="F51" s="25" t="n">
        <v>0</v>
      </c>
      <c r="G51" s="26"/>
      <c r="H51" s="26"/>
    </row>
    <row r="52" customFormat="false" ht="30" hidden="false" customHeight="true" outlineLevel="0" collapsed="false">
      <c r="A52" s="22"/>
      <c r="B52" s="22" t="s">
        <v>128</v>
      </c>
      <c r="C52" s="23"/>
      <c r="D52" s="22"/>
      <c r="E52" s="23" t="s">
        <v>132</v>
      </c>
      <c r="F52" s="25" t="n">
        <v>0</v>
      </c>
      <c r="G52" s="26"/>
      <c r="H52" s="26"/>
    </row>
    <row r="53" customFormat="false" ht="30" hidden="false" customHeight="true" outlineLevel="0" collapsed="false">
      <c r="A53" s="22" t="s">
        <v>122</v>
      </c>
      <c r="B53" s="22" t="s">
        <v>133</v>
      </c>
      <c r="C53" s="27" t="s">
        <v>134</v>
      </c>
      <c r="D53" s="28" t="s">
        <v>71</v>
      </c>
      <c r="E53" s="27" t="s">
        <v>135</v>
      </c>
      <c r="F53" s="25" t="n">
        <v>0</v>
      </c>
      <c r="G53" s="26"/>
      <c r="H53" s="26"/>
    </row>
    <row r="54" customFormat="false" ht="30" hidden="false" customHeight="true" outlineLevel="0" collapsed="false">
      <c r="A54" s="22"/>
      <c r="B54" s="22" t="s">
        <v>133</v>
      </c>
      <c r="C54" s="27"/>
      <c r="D54" s="22"/>
      <c r="E54" s="27" t="s">
        <v>136</v>
      </c>
      <c r="F54" s="25" t="n">
        <v>0</v>
      </c>
      <c r="G54" s="26"/>
      <c r="H54" s="26"/>
    </row>
    <row r="55" customFormat="false" ht="30" hidden="false" customHeight="true" outlineLevel="0" collapsed="false">
      <c r="A55" s="22"/>
      <c r="B55" s="22" t="s">
        <v>133</v>
      </c>
      <c r="C55" s="27"/>
      <c r="D55" s="22"/>
      <c r="E55" s="27" t="s">
        <v>137</v>
      </c>
      <c r="F55" s="25" t="n">
        <v>0</v>
      </c>
      <c r="G55" s="26"/>
      <c r="H55" s="26"/>
    </row>
    <row r="56" customFormat="false" ht="30" hidden="false" customHeight="true" outlineLevel="0" collapsed="false">
      <c r="A56" s="22" t="s">
        <v>122</v>
      </c>
      <c r="B56" s="22" t="s">
        <v>138</v>
      </c>
      <c r="C56" s="23" t="s">
        <v>139</v>
      </c>
      <c r="D56" s="28" t="s">
        <v>71</v>
      </c>
      <c r="E56" s="23" t="s">
        <v>140</v>
      </c>
      <c r="F56" s="25" t="n">
        <v>0</v>
      </c>
      <c r="G56" s="26"/>
      <c r="H56" s="26"/>
    </row>
    <row r="57" customFormat="false" ht="30" hidden="false" customHeight="true" outlineLevel="0" collapsed="false">
      <c r="A57" s="22"/>
      <c r="B57" s="22" t="s">
        <v>138</v>
      </c>
      <c r="C57" s="23"/>
      <c r="D57" s="22"/>
      <c r="E57" s="23" t="s">
        <v>141</v>
      </c>
      <c r="F57" s="25" t="n">
        <v>0</v>
      </c>
      <c r="G57" s="26"/>
      <c r="H57" s="26"/>
    </row>
    <row r="58" customFormat="false" ht="30" hidden="false" customHeight="true" outlineLevel="0" collapsed="false">
      <c r="A58" s="22"/>
      <c r="B58" s="22" t="s">
        <v>138</v>
      </c>
      <c r="C58" s="23"/>
      <c r="D58" s="22"/>
      <c r="E58" s="23" t="s">
        <v>142</v>
      </c>
      <c r="F58" s="25" t="n">
        <v>0</v>
      </c>
      <c r="G58" s="26"/>
      <c r="H58" s="26"/>
    </row>
    <row r="59" customFormat="false" ht="30" hidden="false" customHeight="true" outlineLevel="0" collapsed="false">
      <c r="A59" s="22" t="s">
        <v>122</v>
      </c>
      <c r="B59" s="22" t="s">
        <v>143</v>
      </c>
      <c r="C59" s="27" t="s">
        <v>144</v>
      </c>
      <c r="D59" s="28" t="s">
        <v>71</v>
      </c>
      <c r="E59" s="27" t="s">
        <v>145</v>
      </c>
      <c r="F59" s="25" t="n">
        <v>0</v>
      </c>
      <c r="G59" s="26"/>
      <c r="H59" s="26"/>
    </row>
    <row r="60" customFormat="false" ht="30" hidden="false" customHeight="true" outlineLevel="0" collapsed="false">
      <c r="A60" s="22"/>
      <c r="B60" s="22" t="s">
        <v>143</v>
      </c>
      <c r="C60" s="27"/>
      <c r="D60" s="22"/>
      <c r="E60" s="27" t="s">
        <v>146</v>
      </c>
      <c r="F60" s="25" t="n">
        <v>0</v>
      </c>
      <c r="G60" s="26"/>
      <c r="H60" s="26"/>
    </row>
    <row r="61" customFormat="false" ht="30" hidden="false" customHeight="true" outlineLevel="0" collapsed="false">
      <c r="A61" s="22"/>
      <c r="B61" s="22" t="s">
        <v>143</v>
      </c>
      <c r="C61" s="27"/>
      <c r="D61" s="22"/>
      <c r="E61" s="27" t="s">
        <v>147</v>
      </c>
      <c r="F61" s="25" t="n">
        <v>0</v>
      </c>
      <c r="G61" s="26"/>
      <c r="H61" s="26"/>
    </row>
    <row r="62" customFormat="false" ht="30" hidden="false" customHeight="true" outlineLevel="0" collapsed="false">
      <c r="A62" s="22" t="s">
        <v>148</v>
      </c>
      <c r="B62" s="22" t="s">
        <v>149</v>
      </c>
      <c r="C62" s="23" t="s">
        <v>150</v>
      </c>
      <c r="D62" s="24" t="s">
        <v>45</v>
      </c>
      <c r="E62" s="23" t="s">
        <v>151</v>
      </c>
      <c r="F62" s="25" t="n">
        <v>0</v>
      </c>
      <c r="G62" s="26"/>
      <c r="H62" s="26"/>
    </row>
    <row r="63" customFormat="false" ht="30" hidden="false" customHeight="true" outlineLevel="0" collapsed="false">
      <c r="A63" s="22"/>
      <c r="B63" s="22" t="s">
        <v>149</v>
      </c>
      <c r="C63" s="23"/>
      <c r="D63" s="22"/>
      <c r="E63" s="23" t="s">
        <v>152</v>
      </c>
      <c r="F63" s="25" t="n">
        <v>0</v>
      </c>
      <c r="G63" s="26"/>
      <c r="H63" s="26"/>
    </row>
    <row r="64" customFormat="false" ht="30" hidden="false" customHeight="true" outlineLevel="0" collapsed="false">
      <c r="A64" s="22"/>
      <c r="B64" s="22" t="s">
        <v>149</v>
      </c>
      <c r="C64" s="23"/>
      <c r="D64" s="22"/>
      <c r="E64" s="23" t="s">
        <v>153</v>
      </c>
      <c r="F64" s="25" t="n">
        <v>0</v>
      </c>
      <c r="G64" s="26"/>
      <c r="H64" s="26"/>
    </row>
    <row r="65" customFormat="false" ht="30" hidden="false" customHeight="true" outlineLevel="0" collapsed="false">
      <c r="A65" s="22" t="s">
        <v>148</v>
      </c>
      <c r="B65" s="22" t="s">
        <v>154</v>
      </c>
      <c r="C65" s="27" t="s">
        <v>155</v>
      </c>
      <c r="D65" s="28" t="s">
        <v>71</v>
      </c>
      <c r="E65" s="27" t="s">
        <v>156</v>
      </c>
      <c r="F65" s="25" t="n">
        <v>0</v>
      </c>
      <c r="G65" s="26"/>
      <c r="H65" s="26"/>
    </row>
    <row r="66" customFormat="false" ht="30" hidden="false" customHeight="true" outlineLevel="0" collapsed="false">
      <c r="A66" s="22"/>
      <c r="B66" s="22" t="s">
        <v>154</v>
      </c>
      <c r="C66" s="27"/>
      <c r="D66" s="22"/>
      <c r="E66" s="27" t="s">
        <v>157</v>
      </c>
      <c r="F66" s="25" t="n">
        <v>0</v>
      </c>
      <c r="G66" s="26"/>
      <c r="H66" s="26"/>
    </row>
    <row r="67" customFormat="false" ht="30" hidden="false" customHeight="true" outlineLevel="0" collapsed="false">
      <c r="A67" s="22"/>
      <c r="B67" s="22" t="s">
        <v>154</v>
      </c>
      <c r="C67" s="27"/>
      <c r="D67" s="22"/>
      <c r="E67" s="27" t="s">
        <v>158</v>
      </c>
      <c r="F67" s="25" t="n">
        <v>0</v>
      </c>
      <c r="G67" s="26"/>
      <c r="H67" s="26"/>
    </row>
    <row r="68" customFormat="false" ht="30" hidden="false" customHeight="true" outlineLevel="0" collapsed="false">
      <c r="A68" s="22" t="s">
        <v>148</v>
      </c>
      <c r="B68" s="22" t="s">
        <v>159</v>
      </c>
      <c r="C68" s="23" t="s">
        <v>160</v>
      </c>
      <c r="D68" s="24" t="s">
        <v>45</v>
      </c>
      <c r="E68" s="23" t="s">
        <v>161</v>
      </c>
      <c r="F68" s="25" t="n">
        <v>0</v>
      </c>
      <c r="G68" s="26"/>
      <c r="H68" s="26"/>
    </row>
    <row r="69" customFormat="false" ht="30" hidden="false" customHeight="true" outlineLevel="0" collapsed="false">
      <c r="A69" s="22"/>
      <c r="B69" s="22" t="s">
        <v>159</v>
      </c>
      <c r="C69" s="23"/>
      <c r="D69" s="22"/>
      <c r="E69" s="23" t="s">
        <v>162</v>
      </c>
      <c r="F69" s="25" t="n">
        <v>0</v>
      </c>
      <c r="G69" s="26"/>
      <c r="H69" s="26"/>
    </row>
    <row r="70" customFormat="false" ht="30" hidden="false" customHeight="true" outlineLevel="0" collapsed="false">
      <c r="A70" s="22"/>
      <c r="B70" s="22" t="s">
        <v>159</v>
      </c>
      <c r="C70" s="23"/>
      <c r="D70" s="22"/>
      <c r="E70" s="23" t="s">
        <v>163</v>
      </c>
      <c r="F70" s="25" t="n">
        <v>0</v>
      </c>
      <c r="G70" s="26"/>
      <c r="H70" s="26"/>
    </row>
    <row r="71" customFormat="false" ht="30" hidden="false" customHeight="true" outlineLevel="0" collapsed="false">
      <c r="A71" s="22" t="s">
        <v>148</v>
      </c>
      <c r="B71" s="22" t="s">
        <v>164</v>
      </c>
      <c r="C71" s="27" t="s">
        <v>165</v>
      </c>
      <c r="D71" s="29" t="s">
        <v>92</v>
      </c>
      <c r="E71" s="27" t="s">
        <v>166</v>
      </c>
      <c r="F71" s="25" t="n">
        <v>0</v>
      </c>
      <c r="G71" s="26"/>
      <c r="H71" s="26"/>
    </row>
    <row r="72" customFormat="false" ht="30" hidden="false" customHeight="true" outlineLevel="0" collapsed="false">
      <c r="A72" s="22"/>
      <c r="B72" s="22" t="s">
        <v>164</v>
      </c>
      <c r="C72" s="27"/>
      <c r="D72" s="22"/>
      <c r="E72" s="27" t="s">
        <v>167</v>
      </c>
      <c r="F72" s="25" t="n">
        <v>0</v>
      </c>
      <c r="G72" s="26"/>
      <c r="H72" s="26"/>
    </row>
    <row r="73" customFormat="false" ht="30" hidden="false" customHeight="true" outlineLevel="0" collapsed="false">
      <c r="A73" s="22"/>
      <c r="B73" s="22" t="s">
        <v>164</v>
      </c>
      <c r="C73" s="27"/>
      <c r="D73" s="22"/>
      <c r="E73" s="27" t="s">
        <v>168</v>
      </c>
      <c r="F73" s="25" t="n">
        <v>0</v>
      </c>
      <c r="G73" s="26"/>
      <c r="H73" s="26"/>
    </row>
    <row r="74" customFormat="false" ht="30" hidden="false" customHeight="true" outlineLevel="0" collapsed="false">
      <c r="A74" s="22" t="s">
        <v>148</v>
      </c>
      <c r="B74" s="22" t="s">
        <v>169</v>
      </c>
      <c r="C74" s="23" t="s">
        <v>170</v>
      </c>
      <c r="D74" s="29" t="s">
        <v>92</v>
      </c>
      <c r="E74" s="23" t="s">
        <v>171</v>
      </c>
      <c r="F74" s="25" t="n">
        <v>0</v>
      </c>
      <c r="G74" s="26"/>
      <c r="H74" s="26"/>
    </row>
    <row r="75" customFormat="false" ht="30" hidden="false" customHeight="true" outlineLevel="0" collapsed="false">
      <c r="A75" s="22"/>
      <c r="B75" s="22" t="s">
        <v>169</v>
      </c>
      <c r="C75" s="23"/>
      <c r="D75" s="22"/>
      <c r="E75" s="23" t="s">
        <v>172</v>
      </c>
      <c r="F75" s="25" t="n">
        <v>0</v>
      </c>
      <c r="G75" s="26"/>
      <c r="H75" s="26"/>
    </row>
    <row r="76" customFormat="false" ht="30" hidden="false" customHeight="true" outlineLevel="0" collapsed="false">
      <c r="A76" s="22"/>
      <c r="B76" s="22" t="s">
        <v>169</v>
      </c>
      <c r="C76" s="23"/>
      <c r="D76" s="22"/>
      <c r="E76" s="23" t="s">
        <v>173</v>
      </c>
      <c r="F76" s="25" t="n">
        <v>0</v>
      </c>
      <c r="G76" s="26"/>
      <c r="H76" s="26"/>
    </row>
    <row r="77" customFormat="false" ht="30" hidden="false" customHeight="true" outlineLevel="0" collapsed="false">
      <c r="A77" s="22" t="s">
        <v>174</v>
      </c>
      <c r="B77" s="22" t="s">
        <v>175</v>
      </c>
      <c r="C77" s="27" t="s">
        <v>176</v>
      </c>
      <c r="D77" s="24" t="s">
        <v>45</v>
      </c>
      <c r="E77" s="27" t="s">
        <v>177</v>
      </c>
      <c r="F77" s="25" t="n">
        <v>0</v>
      </c>
      <c r="G77" s="26"/>
      <c r="H77" s="26"/>
    </row>
    <row r="78" customFormat="false" ht="30" hidden="false" customHeight="true" outlineLevel="0" collapsed="false">
      <c r="A78" s="22"/>
      <c r="B78" s="22" t="s">
        <v>175</v>
      </c>
      <c r="C78" s="27"/>
      <c r="D78" s="22"/>
      <c r="E78" s="27" t="s">
        <v>178</v>
      </c>
      <c r="F78" s="25" t="n">
        <v>0</v>
      </c>
      <c r="G78" s="26"/>
      <c r="H78" s="26"/>
    </row>
    <row r="79" customFormat="false" ht="30" hidden="false" customHeight="true" outlineLevel="0" collapsed="false">
      <c r="A79" s="22"/>
      <c r="B79" s="22" t="s">
        <v>175</v>
      </c>
      <c r="C79" s="27"/>
      <c r="D79" s="22"/>
      <c r="E79" s="27" t="s">
        <v>179</v>
      </c>
      <c r="F79" s="25" t="n">
        <v>0</v>
      </c>
      <c r="G79" s="26"/>
      <c r="H79" s="26"/>
    </row>
    <row r="80" customFormat="false" ht="30" hidden="false" customHeight="true" outlineLevel="0" collapsed="false">
      <c r="A80" s="22" t="s">
        <v>174</v>
      </c>
      <c r="B80" s="22" t="s">
        <v>180</v>
      </c>
      <c r="C80" s="23" t="s">
        <v>181</v>
      </c>
      <c r="D80" s="24" t="s">
        <v>45</v>
      </c>
      <c r="E80" s="23" t="s">
        <v>182</v>
      </c>
      <c r="F80" s="25" t="n">
        <v>0</v>
      </c>
      <c r="G80" s="26"/>
      <c r="H80" s="26"/>
    </row>
    <row r="81" customFormat="false" ht="30" hidden="false" customHeight="true" outlineLevel="0" collapsed="false">
      <c r="A81" s="22"/>
      <c r="B81" s="22" t="s">
        <v>180</v>
      </c>
      <c r="C81" s="23"/>
      <c r="D81" s="22"/>
      <c r="E81" s="23" t="s">
        <v>183</v>
      </c>
      <c r="F81" s="25" t="n">
        <v>0</v>
      </c>
      <c r="G81" s="26"/>
      <c r="H81" s="26"/>
    </row>
    <row r="82" customFormat="false" ht="30" hidden="false" customHeight="true" outlineLevel="0" collapsed="false">
      <c r="A82" s="22"/>
      <c r="B82" s="22" t="s">
        <v>180</v>
      </c>
      <c r="C82" s="23"/>
      <c r="D82" s="22"/>
      <c r="E82" s="23" t="s">
        <v>184</v>
      </c>
      <c r="F82" s="25" t="n">
        <v>0</v>
      </c>
      <c r="G82" s="26"/>
      <c r="H82" s="26"/>
    </row>
    <row r="83" customFormat="false" ht="30" hidden="false" customHeight="true" outlineLevel="0" collapsed="false">
      <c r="A83" s="22" t="s">
        <v>174</v>
      </c>
      <c r="B83" s="22" t="s">
        <v>185</v>
      </c>
      <c r="C83" s="27" t="s">
        <v>186</v>
      </c>
      <c r="D83" s="29" t="s">
        <v>92</v>
      </c>
      <c r="E83" s="27" t="s">
        <v>187</v>
      </c>
      <c r="F83" s="25" t="n">
        <v>0</v>
      </c>
      <c r="G83" s="26"/>
      <c r="H83" s="26"/>
    </row>
    <row r="84" customFormat="false" ht="30" hidden="false" customHeight="true" outlineLevel="0" collapsed="false">
      <c r="A84" s="22"/>
      <c r="B84" s="22" t="s">
        <v>185</v>
      </c>
      <c r="C84" s="27"/>
      <c r="D84" s="22"/>
      <c r="E84" s="27" t="s">
        <v>188</v>
      </c>
      <c r="F84" s="25" t="n">
        <v>0</v>
      </c>
      <c r="G84" s="26"/>
      <c r="H84" s="26"/>
    </row>
    <row r="85" customFormat="false" ht="30" hidden="false" customHeight="true" outlineLevel="0" collapsed="false">
      <c r="A85" s="22"/>
      <c r="B85" s="22" t="s">
        <v>185</v>
      </c>
      <c r="C85" s="27"/>
      <c r="D85" s="22"/>
      <c r="E85" s="27" t="s">
        <v>189</v>
      </c>
      <c r="F85" s="25" t="n">
        <v>0</v>
      </c>
      <c r="G85" s="26"/>
      <c r="H85" s="26"/>
    </row>
    <row r="86" customFormat="false" ht="30" hidden="false" customHeight="true" outlineLevel="0" collapsed="false">
      <c r="A86" s="22" t="s">
        <v>174</v>
      </c>
      <c r="B86" s="22" t="s">
        <v>190</v>
      </c>
      <c r="C86" s="23" t="s">
        <v>191</v>
      </c>
      <c r="D86" s="24" t="s">
        <v>45</v>
      </c>
      <c r="E86" s="23" t="s">
        <v>192</v>
      </c>
      <c r="F86" s="25" t="n">
        <v>0</v>
      </c>
      <c r="G86" s="26"/>
      <c r="H86" s="26"/>
    </row>
    <row r="87" customFormat="false" ht="30" hidden="false" customHeight="true" outlineLevel="0" collapsed="false">
      <c r="A87" s="22"/>
      <c r="B87" s="22" t="s">
        <v>190</v>
      </c>
      <c r="C87" s="23"/>
      <c r="D87" s="22"/>
      <c r="E87" s="23" t="s">
        <v>193</v>
      </c>
      <c r="F87" s="25" t="n">
        <v>0</v>
      </c>
      <c r="G87" s="26"/>
      <c r="H87" s="26"/>
    </row>
    <row r="88" customFormat="false" ht="30" hidden="false" customHeight="true" outlineLevel="0" collapsed="false">
      <c r="A88" s="22"/>
      <c r="B88" s="22" t="s">
        <v>190</v>
      </c>
      <c r="C88" s="23"/>
      <c r="D88" s="22"/>
      <c r="E88" s="23" t="s">
        <v>194</v>
      </c>
      <c r="F88" s="25" t="n">
        <v>0</v>
      </c>
      <c r="G88" s="26"/>
      <c r="H88" s="26"/>
    </row>
    <row r="89" customFormat="false" ht="30" hidden="false" customHeight="true" outlineLevel="0" collapsed="false">
      <c r="A89" s="22" t="s">
        <v>174</v>
      </c>
      <c r="B89" s="22" t="s">
        <v>195</v>
      </c>
      <c r="C89" s="27" t="s">
        <v>196</v>
      </c>
      <c r="D89" s="28" t="s">
        <v>71</v>
      </c>
      <c r="E89" s="27" t="s">
        <v>197</v>
      </c>
      <c r="F89" s="25" t="n">
        <v>0</v>
      </c>
      <c r="G89" s="26"/>
      <c r="H89" s="26"/>
    </row>
    <row r="90" customFormat="false" ht="30" hidden="false" customHeight="true" outlineLevel="0" collapsed="false">
      <c r="A90" s="22"/>
      <c r="B90" s="22" t="s">
        <v>195</v>
      </c>
      <c r="C90" s="27"/>
      <c r="D90" s="22"/>
      <c r="E90" s="27" t="s">
        <v>198</v>
      </c>
      <c r="F90" s="25" t="n">
        <v>0</v>
      </c>
      <c r="G90" s="26"/>
      <c r="H90" s="26"/>
    </row>
    <row r="91" customFormat="false" ht="30" hidden="false" customHeight="true" outlineLevel="0" collapsed="false">
      <c r="A91" s="22"/>
      <c r="B91" s="22" t="s">
        <v>195</v>
      </c>
      <c r="C91" s="27"/>
      <c r="D91" s="22"/>
      <c r="E91" s="27" t="s">
        <v>199</v>
      </c>
      <c r="F91" s="25" t="n">
        <v>0</v>
      </c>
      <c r="G91" s="26"/>
      <c r="H91" s="26"/>
    </row>
    <row r="92" customFormat="false" ht="30" hidden="false" customHeight="true" outlineLevel="0" collapsed="false">
      <c r="A92" s="22" t="s">
        <v>174</v>
      </c>
      <c r="B92" s="22" t="s">
        <v>200</v>
      </c>
      <c r="C92" s="23" t="s">
        <v>201</v>
      </c>
      <c r="D92" s="28" t="s">
        <v>71</v>
      </c>
      <c r="E92" s="23" t="s">
        <v>202</v>
      </c>
      <c r="F92" s="25" t="n">
        <v>0</v>
      </c>
      <c r="G92" s="26"/>
      <c r="H92" s="26"/>
    </row>
    <row r="93" customFormat="false" ht="30" hidden="false" customHeight="true" outlineLevel="0" collapsed="false">
      <c r="A93" s="22"/>
      <c r="B93" s="22" t="s">
        <v>200</v>
      </c>
      <c r="C93" s="23"/>
      <c r="D93" s="22"/>
      <c r="E93" s="23" t="s">
        <v>203</v>
      </c>
      <c r="F93" s="25" t="n">
        <v>0</v>
      </c>
      <c r="G93" s="26"/>
      <c r="H93" s="26"/>
    </row>
    <row r="94" customFormat="false" ht="30" hidden="false" customHeight="true" outlineLevel="0" collapsed="false">
      <c r="A94" s="22"/>
      <c r="B94" s="22" t="s">
        <v>200</v>
      </c>
      <c r="C94" s="23"/>
      <c r="D94" s="22"/>
      <c r="E94" s="23" t="s">
        <v>204</v>
      </c>
      <c r="F94" s="25" t="n">
        <v>0</v>
      </c>
      <c r="G94" s="26"/>
      <c r="H94" s="26"/>
    </row>
    <row r="95" customFormat="false" ht="30" hidden="false" customHeight="true" outlineLevel="0" collapsed="false">
      <c r="A95" s="22" t="s">
        <v>174</v>
      </c>
      <c r="B95" s="22" t="s">
        <v>205</v>
      </c>
      <c r="C95" s="27" t="s">
        <v>206</v>
      </c>
      <c r="D95" s="29" t="s">
        <v>92</v>
      </c>
      <c r="E95" s="27" t="s">
        <v>207</v>
      </c>
      <c r="F95" s="25" t="n">
        <v>0</v>
      </c>
      <c r="G95" s="26"/>
      <c r="H95" s="26"/>
    </row>
    <row r="96" customFormat="false" ht="30" hidden="false" customHeight="true" outlineLevel="0" collapsed="false">
      <c r="A96" s="22"/>
      <c r="B96" s="22" t="s">
        <v>205</v>
      </c>
      <c r="C96" s="27"/>
      <c r="D96" s="22"/>
      <c r="E96" s="27" t="s">
        <v>208</v>
      </c>
      <c r="F96" s="25" t="n">
        <v>0</v>
      </c>
      <c r="G96" s="26"/>
      <c r="H96" s="26"/>
    </row>
    <row r="97" customFormat="false" ht="30" hidden="false" customHeight="true" outlineLevel="0" collapsed="false">
      <c r="A97" s="22"/>
      <c r="B97" s="22" t="s">
        <v>205</v>
      </c>
      <c r="C97" s="27"/>
      <c r="D97" s="22"/>
      <c r="E97" s="27" t="s">
        <v>209</v>
      </c>
      <c r="F97" s="25" t="n">
        <v>0</v>
      </c>
      <c r="G97" s="26"/>
      <c r="H97" s="26"/>
    </row>
    <row r="98" customFormat="false" ht="30" hidden="false" customHeight="true" outlineLevel="0" collapsed="false">
      <c r="A98" s="22" t="s">
        <v>210</v>
      </c>
      <c r="B98" s="22" t="s">
        <v>211</v>
      </c>
      <c r="C98" s="23" t="s">
        <v>212</v>
      </c>
      <c r="D98" s="28" t="s">
        <v>71</v>
      </c>
      <c r="E98" s="23" t="s">
        <v>213</v>
      </c>
      <c r="F98" s="25" t="n">
        <v>0</v>
      </c>
      <c r="G98" s="26"/>
      <c r="H98" s="26"/>
    </row>
    <row r="99" customFormat="false" ht="30" hidden="false" customHeight="true" outlineLevel="0" collapsed="false">
      <c r="A99" s="22"/>
      <c r="B99" s="22" t="s">
        <v>211</v>
      </c>
      <c r="C99" s="23"/>
      <c r="D99" s="22"/>
      <c r="E99" s="23" t="s">
        <v>214</v>
      </c>
      <c r="F99" s="25" t="n">
        <v>0</v>
      </c>
      <c r="G99" s="26"/>
      <c r="H99" s="26"/>
    </row>
    <row r="100" customFormat="false" ht="30" hidden="false" customHeight="true" outlineLevel="0" collapsed="false">
      <c r="A100" s="22"/>
      <c r="B100" s="22" t="s">
        <v>211</v>
      </c>
      <c r="C100" s="23"/>
      <c r="D100" s="22"/>
      <c r="E100" s="23" t="s">
        <v>215</v>
      </c>
      <c r="F100" s="25" t="n">
        <v>0</v>
      </c>
      <c r="G100" s="26"/>
      <c r="H100" s="26"/>
    </row>
    <row r="101" customFormat="false" ht="30" hidden="false" customHeight="true" outlineLevel="0" collapsed="false">
      <c r="A101" s="22" t="s">
        <v>210</v>
      </c>
      <c r="B101" s="22" t="s">
        <v>216</v>
      </c>
      <c r="C101" s="27" t="s">
        <v>217</v>
      </c>
      <c r="D101" s="29" t="s">
        <v>92</v>
      </c>
      <c r="E101" s="27" t="s">
        <v>218</v>
      </c>
      <c r="F101" s="25" t="n">
        <v>0</v>
      </c>
      <c r="G101" s="26"/>
      <c r="H101" s="26"/>
    </row>
    <row r="102" customFormat="false" ht="30" hidden="false" customHeight="true" outlineLevel="0" collapsed="false">
      <c r="A102" s="22"/>
      <c r="B102" s="22" t="s">
        <v>216</v>
      </c>
      <c r="C102" s="27"/>
      <c r="D102" s="22"/>
      <c r="E102" s="27" t="s">
        <v>219</v>
      </c>
      <c r="F102" s="25" t="n">
        <v>0</v>
      </c>
      <c r="G102" s="26"/>
      <c r="H102" s="26"/>
    </row>
    <row r="103" customFormat="false" ht="30" hidden="false" customHeight="true" outlineLevel="0" collapsed="false">
      <c r="A103" s="22"/>
      <c r="B103" s="22" t="s">
        <v>216</v>
      </c>
      <c r="C103" s="27"/>
      <c r="D103" s="22"/>
      <c r="E103" s="27" t="s">
        <v>220</v>
      </c>
      <c r="F103" s="25" t="n">
        <v>0</v>
      </c>
      <c r="G103" s="26"/>
      <c r="H103" s="26"/>
    </row>
    <row r="104" customFormat="false" ht="30" hidden="false" customHeight="true" outlineLevel="0" collapsed="false">
      <c r="A104" s="22" t="s">
        <v>210</v>
      </c>
      <c r="B104" s="22" t="s">
        <v>221</v>
      </c>
      <c r="C104" s="23" t="s">
        <v>222</v>
      </c>
      <c r="D104" s="28" t="s">
        <v>71</v>
      </c>
      <c r="E104" s="23" t="s">
        <v>223</v>
      </c>
      <c r="F104" s="25" t="n">
        <v>0</v>
      </c>
      <c r="G104" s="26"/>
      <c r="H104" s="26"/>
    </row>
    <row r="105" customFormat="false" ht="30" hidden="false" customHeight="true" outlineLevel="0" collapsed="false">
      <c r="A105" s="22"/>
      <c r="B105" s="22" t="s">
        <v>221</v>
      </c>
      <c r="C105" s="23"/>
      <c r="D105" s="22"/>
      <c r="E105" s="23" t="s">
        <v>224</v>
      </c>
      <c r="F105" s="25" t="n">
        <v>0</v>
      </c>
      <c r="G105" s="26"/>
      <c r="H105" s="26"/>
    </row>
    <row r="106" customFormat="false" ht="30" hidden="false" customHeight="true" outlineLevel="0" collapsed="false">
      <c r="A106" s="22"/>
      <c r="B106" s="22" t="s">
        <v>221</v>
      </c>
      <c r="C106" s="23"/>
      <c r="D106" s="22"/>
      <c r="E106" s="23" t="s">
        <v>225</v>
      </c>
      <c r="F106" s="25" t="n">
        <v>0</v>
      </c>
      <c r="G106" s="26"/>
      <c r="H106" s="26"/>
    </row>
    <row r="107" customFormat="false" ht="30" hidden="false" customHeight="true" outlineLevel="0" collapsed="false">
      <c r="A107" s="22" t="s">
        <v>210</v>
      </c>
      <c r="B107" s="22" t="s">
        <v>226</v>
      </c>
      <c r="C107" s="27" t="s">
        <v>227</v>
      </c>
      <c r="D107" s="29" t="s">
        <v>92</v>
      </c>
      <c r="E107" s="27" t="s">
        <v>228</v>
      </c>
      <c r="F107" s="25" t="n">
        <v>0</v>
      </c>
      <c r="G107" s="26"/>
      <c r="H107" s="26"/>
    </row>
    <row r="108" customFormat="false" ht="30" hidden="false" customHeight="true" outlineLevel="0" collapsed="false">
      <c r="A108" s="22"/>
      <c r="B108" s="22" t="s">
        <v>226</v>
      </c>
      <c r="C108" s="27"/>
      <c r="D108" s="22"/>
      <c r="E108" s="27" t="s">
        <v>229</v>
      </c>
      <c r="F108" s="25" t="n">
        <v>0</v>
      </c>
      <c r="G108" s="26"/>
      <c r="H108" s="26"/>
    </row>
    <row r="109" customFormat="false" ht="30" hidden="false" customHeight="true" outlineLevel="0" collapsed="false">
      <c r="A109" s="22"/>
      <c r="B109" s="22" t="s">
        <v>226</v>
      </c>
      <c r="C109" s="27"/>
      <c r="D109" s="22"/>
      <c r="E109" s="27" t="s">
        <v>230</v>
      </c>
      <c r="F109" s="25" t="n">
        <v>0</v>
      </c>
      <c r="G109" s="26"/>
      <c r="H109" s="26"/>
    </row>
    <row r="110" customFormat="false" ht="30" hidden="false" customHeight="true" outlineLevel="0" collapsed="false">
      <c r="A110" s="22" t="s">
        <v>210</v>
      </c>
      <c r="B110" s="22" t="s">
        <v>231</v>
      </c>
      <c r="C110" s="23" t="s">
        <v>232</v>
      </c>
      <c r="D110" s="29" t="s">
        <v>92</v>
      </c>
      <c r="E110" s="23" t="s">
        <v>233</v>
      </c>
      <c r="F110" s="25" t="n">
        <v>0</v>
      </c>
      <c r="G110" s="26"/>
      <c r="H110" s="26"/>
    </row>
    <row r="111" customFormat="false" ht="30" hidden="false" customHeight="true" outlineLevel="0" collapsed="false">
      <c r="A111" s="22"/>
      <c r="B111" s="22" t="s">
        <v>231</v>
      </c>
      <c r="C111" s="23"/>
      <c r="D111" s="22"/>
      <c r="E111" s="23" t="s">
        <v>234</v>
      </c>
      <c r="F111" s="25" t="n">
        <v>0</v>
      </c>
      <c r="G111" s="26"/>
      <c r="H111" s="26"/>
    </row>
    <row r="112" customFormat="false" ht="30" hidden="false" customHeight="true" outlineLevel="0" collapsed="false">
      <c r="A112" s="22"/>
      <c r="B112" s="22" t="s">
        <v>231</v>
      </c>
      <c r="C112" s="23"/>
      <c r="D112" s="22"/>
      <c r="E112" s="23" t="s">
        <v>235</v>
      </c>
      <c r="F112" s="25" t="n">
        <v>0</v>
      </c>
      <c r="G112" s="26"/>
      <c r="H112" s="26"/>
    </row>
    <row r="113" customFormat="false" ht="30" hidden="false" customHeight="true" outlineLevel="0" collapsed="false">
      <c r="A113" s="22" t="s">
        <v>210</v>
      </c>
      <c r="B113" s="22" t="s">
        <v>236</v>
      </c>
      <c r="C113" s="27" t="s">
        <v>237</v>
      </c>
      <c r="D113" s="29" t="s">
        <v>92</v>
      </c>
      <c r="E113" s="27" t="s">
        <v>238</v>
      </c>
      <c r="F113" s="25" t="n">
        <v>0</v>
      </c>
      <c r="G113" s="26"/>
      <c r="H113" s="26"/>
    </row>
    <row r="114" customFormat="false" ht="30" hidden="false" customHeight="true" outlineLevel="0" collapsed="false">
      <c r="A114" s="22"/>
      <c r="B114" s="22" t="s">
        <v>236</v>
      </c>
      <c r="C114" s="27"/>
      <c r="D114" s="22"/>
      <c r="E114" s="27" t="s">
        <v>239</v>
      </c>
      <c r="F114" s="25" t="n">
        <v>0</v>
      </c>
      <c r="G114" s="26"/>
      <c r="H114" s="26"/>
    </row>
    <row r="115" customFormat="false" ht="30" hidden="false" customHeight="true" outlineLevel="0" collapsed="false">
      <c r="A115" s="22"/>
      <c r="B115" s="22" t="s">
        <v>236</v>
      </c>
      <c r="C115" s="27"/>
      <c r="D115" s="22"/>
      <c r="E115" s="27" t="s">
        <v>240</v>
      </c>
      <c r="F115" s="25" t="n">
        <v>0</v>
      </c>
      <c r="G115" s="26"/>
      <c r="H115" s="26"/>
    </row>
    <row r="116" customFormat="false" ht="30" hidden="false" customHeight="true" outlineLevel="0" collapsed="false">
      <c r="A116" s="22" t="s">
        <v>241</v>
      </c>
      <c r="B116" s="22" t="s">
        <v>242</v>
      </c>
      <c r="C116" s="23" t="s">
        <v>243</v>
      </c>
      <c r="D116" s="28" t="s">
        <v>71</v>
      </c>
      <c r="E116" s="23" t="s">
        <v>244</v>
      </c>
      <c r="F116" s="25" t="n">
        <v>0</v>
      </c>
      <c r="G116" s="26"/>
      <c r="H116" s="26"/>
    </row>
    <row r="117" customFormat="false" ht="30" hidden="false" customHeight="true" outlineLevel="0" collapsed="false">
      <c r="A117" s="22"/>
      <c r="B117" s="22" t="s">
        <v>242</v>
      </c>
      <c r="C117" s="23"/>
      <c r="D117" s="22"/>
      <c r="E117" s="23" t="s">
        <v>245</v>
      </c>
      <c r="F117" s="25" t="n">
        <v>0</v>
      </c>
      <c r="G117" s="26"/>
      <c r="H117" s="26"/>
    </row>
    <row r="118" customFormat="false" ht="30" hidden="false" customHeight="true" outlineLevel="0" collapsed="false">
      <c r="A118" s="22"/>
      <c r="B118" s="22" t="s">
        <v>242</v>
      </c>
      <c r="C118" s="23"/>
      <c r="D118" s="22"/>
      <c r="E118" s="23" t="s">
        <v>246</v>
      </c>
      <c r="F118" s="25" t="n">
        <v>0</v>
      </c>
      <c r="G118" s="26"/>
      <c r="H118" s="26"/>
    </row>
    <row r="119" customFormat="false" ht="30" hidden="false" customHeight="true" outlineLevel="0" collapsed="false">
      <c r="A119" s="22" t="s">
        <v>241</v>
      </c>
      <c r="B119" s="22" t="s">
        <v>247</v>
      </c>
      <c r="C119" s="27" t="s">
        <v>248</v>
      </c>
      <c r="D119" s="28" t="s">
        <v>71</v>
      </c>
      <c r="E119" s="27" t="s">
        <v>249</v>
      </c>
      <c r="F119" s="25" t="n">
        <v>0</v>
      </c>
      <c r="G119" s="26"/>
      <c r="H119" s="26"/>
    </row>
    <row r="120" customFormat="false" ht="30" hidden="false" customHeight="true" outlineLevel="0" collapsed="false">
      <c r="A120" s="22"/>
      <c r="B120" s="22" t="s">
        <v>247</v>
      </c>
      <c r="C120" s="27"/>
      <c r="D120" s="22"/>
      <c r="E120" s="27" t="s">
        <v>250</v>
      </c>
      <c r="F120" s="25" t="n">
        <v>0</v>
      </c>
      <c r="G120" s="26"/>
      <c r="H120" s="26"/>
    </row>
    <row r="121" customFormat="false" ht="30" hidden="false" customHeight="true" outlineLevel="0" collapsed="false">
      <c r="A121" s="22"/>
      <c r="B121" s="22" t="s">
        <v>247</v>
      </c>
      <c r="C121" s="27"/>
      <c r="D121" s="22"/>
      <c r="E121" s="27" t="s">
        <v>251</v>
      </c>
      <c r="F121" s="25" t="n">
        <v>0</v>
      </c>
      <c r="G121" s="26"/>
      <c r="H121" s="26"/>
    </row>
    <row r="122" customFormat="false" ht="30" hidden="false" customHeight="true" outlineLevel="0" collapsed="false">
      <c r="A122" s="22" t="s">
        <v>241</v>
      </c>
      <c r="B122" s="22" t="s">
        <v>252</v>
      </c>
      <c r="C122" s="23" t="s">
        <v>253</v>
      </c>
      <c r="D122" s="28" t="s">
        <v>71</v>
      </c>
      <c r="E122" s="23" t="s">
        <v>254</v>
      </c>
      <c r="F122" s="25" t="n">
        <v>0</v>
      </c>
      <c r="G122" s="26"/>
      <c r="H122" s="26"/>
    </row>
    <row r="123" customFormat="false" ht="30" hidden="false" customHeight="true" outlineLevel="0" collapsed="false">
      <c r="A123" s="22"/>
      <c r="B123" s="22" t="s">
        <v>252</v>
      </c>
      <c r="C123" s="23"/>
      <c r="D123" s="22"/>
      <c r="E123" s="23" t="s">
        <v>255</v>
      </c>
      <c r="F123" s="25" t="n">
        <v>0</v>
      </c>
      <c r="G123" s="26"/>
      <c r="H123" s="26"/>
    </row>
    <row r="124" customFormat="false" ht="30" hidden="false" customHeight="true" outlineLevel="0" collapsed="false">
      <c r="A124" s="22"/>
      <c r="B124" s="22" t="s">
        <v>252</v>
      </c>
      <c r="C124" s="23"/>
      <c r="D124" s="22"/>
      <c r="E124" s="23" t="s">
        <v>256</v>
      </c>
      <c r="F124" s="25" t="n">
        <v>0</v>
      </c>
      <c r="G124" s="26"/>
      <c r="H124" s="26"/>
    </row>
    <row r="125" customFormat="false" ht="30" hidden="false" customHeight="true" outlineLevel="0" collapsed="false">
      <c r="A125" s="22" t="s">
        <v>241</v>
      </c>
      <c r="B125" s="22" t="s">
        <v>257</v>
      </c>
      <c r="C125" s="27" t="s">
        <v>258</v>
      </c>
      <c r="D125" s="29" t="s">
        <v>92</v>
      </c>
      <c r="E125" s="27" t="s">
        <v>259</v>
      </c>
      <c r="F125" s="25" t="n">
        <v>0</v>
      </c>
      <c r="G125" s="26"/>
      <c r="H125" s="26"/>
    </row>
    <row r="126" customFormat="false" ht="30" hidden="false" customHeight="true" outlineLevel="0" collapsed="false">
      <c r="A126" s="22"/>
      <c r="B126" s="22" t="s">
        <v>257</v>
      </c>
      <c r="C126" s="27"/>
      <c r="D126" s="22"/>
      <c r="E126" s="27" t="s">
        <v>260</v>
      </c>
      <c r="F126" s="25" t="n">
        <v>0</v>
      </c>
      <c r="G126" s="26"/>
      <c r="H126" s="26"/>
    </row>
    <row r="127" customFormat="false" ht="30" hidden="false" customHeight="true" outlineLevel="0" collapsed="false">
      <c r="A127" s="22"/>
      <c r="B127" s="22" t="s">
        <v>257</v>
      </c>
      <c r="C127" s="27"/>
      <c r="D127" s="22"/>
      <c r="E127" s="27" t="s">
        <v>261</v>
      </c>
      <c r="F127" s="25" t="n">
        <v>0</v>
      </c>
      <c r="G127" s="26"/>
      <c r="H127" s="26"/>
    </row>
    <row r="128" customFormat="false" ht="30" hidden="false" customHeight="true" outlineLevel="0" collapsed="false">
      <c r="A128" s="22" t="s">
        <v>241</v>
      </c>
      <c r="B128" s="22" t="s">
        <v>262</v>
      </c>
      <c r="C128" s="23" t="s">
        <v>263</v>
      </c>
      <c r="D128" s="28" t="s">
        <v>71</v>
      </c>
      <c r="E128" s="23" t="s">
        <v>264</v>
      </c>
      <c r="F128" s="25" t="n">
        <v>0</v>
      </c>
      <c r="G128" s="26"/>
      <c r="H128" s="26"/>
    </row>
    <row r="129" customFormat="false" ht="30" hidden="false" customHeight="true" outlineLevel="0" collapsed="false">
      <c r="A129" s="22"/>
      <c r="B129" s="22" t="s">
        <v>262</v>
      </c>
      <c r="C129" s="23"/>
      <c r="D129" s="22"/>
      <c r="E129" s="23" t="s">
        <v>265</v>
      </c>
      <c r="F129" s="25" t="n">
        <v>0</v>
      </c>
      <c r="G129" s="26"/>
      <c r="H129" s="26"/>
    </row>
    <row r="130" customFormat="false" ht="30" hidden="false" customHeight="true" outlineLevel="0" collapsed="false">
      <c r="A130" s="22"/>
      <c r="B130" s="22" t="s">
        <v>262</v>
      </c>
      <c r="C130" s="23"/>
      <c r="D130" s="22"/>
      <c r="E130" s="23" t="s">
        <v>266</v>
      </c>
      <c r="F130" s="25" t="n">
        <v>0</v>
      </c>
      <c r="G130" s="26"/>
      <c r="H130" s="26"/>
    </row>
    <row r="131" customFormat="false" ht="30" hidden="false" customHeight="true" outlineLevel="0" collapsed="false">
      <c r="A131" s="22" t="s">
        <v>241</v>
      </c>
      <c r="B131" s="22" t="s">
        <v>267</v>
      </c>
      <c r="C131" s="27" t="s">
        <v>268</v>
      </c>
      <c r="D131" s="29" t="s">
        <v>92</v>
      </c>
      <c r="E131" s="27" t="s">
        <v>269</v>
      </c>
      <c r="F131" s="25" t="n">
        <v>0</v>
      </c>
      <c r="G131" s="26"/>
      <c r="H131" s="26"/>
    </row>
    <row r="132" customFormat="false" ht="30" hidden="false" customHeight="true" outlineLevel="0" collapsed="false">
      <c r="A132" s="22"/>
      <c r="B132" s="22" t="s">
        <v>267</v>
      </c>
      <c r="C132" s="27"/>
      <c r="D132" s="22"/>
      <c r="E132" s="27" t="s">
        <v>270</v>
      </c>
      <c r="F132" s="25" t="n">
        <v>0</v>
      </c>
      <c r="G132" s="26"/>
      <c r="H132" s="26"/>
    </row>
    <row r="133" customFormat="false" ht="30" hidden="false" customHeight="true" outlineLevel="0" collapsed="false">
      <c r="A133" s="22"/>
      <c r="B133" s="22" t="s">
        <v>267</v>
      </c>
      <c r="C133" s="27"/>
      <c r="D133" s="22"/>
      <c r="E133" s="27" t="s">
        <v>271</v>
      </c>
      <c r="F133" s="25" t="n">
        <v>0</v>
      </c>
      <c r="G133" s="26"/>
      <c r="H133" s="26"/>
    </row>
    <row r="134" customFormat="false" ht="30" hidden="false" customHeight="true" outlineLevel="0" collapsed="false">
      <c r="A134" s="22" t="s">
        <v>241</v>
      </c>
      <c r="B134" s="22" t="s">
        <v>272</v>
      </c>
      <c r="C134" s="23" t="s">
        <v>273</v>
      </c>
      <c r="D134" s="29" t="s">
        <v>92</v>
      </c>
      <c r="E134" s="23" t="s">
        <v>274</v>
      </c>
      <c r="F134" s="25" t="n">
        <v>0</v>
      </c>
      <c r="G134" s="26"/>
      <c r="H134" s="26"/>
    </row>
    <row r="135" customFormat="false" ht="30" hidden="false" customHeight="true" outlineLevel="0" collapsed="false">
      <c r="A135" s="22"/>
      <c r="B135" s="22" t="s">
        <v>272</v>
      </c>
      <c r="C135" s="23"/>
      <c r="D135" s="22"/>
      <c r="E135" s="23" t="s">
        <v>275</v>
      </c>
      <c r="F135" s="25" t="n">
        <v>0</v>
      </c>
      <c r="G135" s="26"/>
      <c r="H135" s="26"/>
    </row>
    <row r="136" customFormat="false" ht="30" hidden="false" customHeight="true" outlineLevel="0" collapsed="false">
      <c r="A136" s="22"/>
      <c r="B136" s="22" t="s">
        <v>272</v>
      </c>
      <c r="C136" s="23"/>
      <c r="D136" s="22"/>
      <c r="E136" s="23" t="s">
        <v>276</v>
      </c>
      <c r="F136" s="25" t="n">
        <v>0</v>
      </c>
      <c r="G136" s="26"/>
      <c r="H136" s="26"/>
    </row>
    <row r="137" customFormat="false" ht="30" hidden="false" customHeight="true" outlineLevel="0" collapsed="false">
      <c r="A137" s="22" t="s">
        <v>277</v>
      </c>
      <c r="B137" s="22" t="s">
        <v>278</v>
      </c>
      <c r="C137" s="27" t="s">
        <v>279</v>
      </c>
      <c r="D137" s="28" t="s">
        <v>71</v>
      </c>
      <c r="E137" s="27" t="s">
        <v>280</v>
      </c>
      <c r="F137" s="25" t="n">
        <v>0</v>
      </c>
      <c r="G137" s="26"/>
      <c r="H137" s="26"/>
    </row>
    <row r="138" customFormat="false" ht="30" hidden="false" customHeight="true" outlineLevel="0" collapsed="false">
      <c r="A138" s="22"/>
      <c r="B138" s="22" t="s">
        <v>278</v>
      </c>
      <c r="C138" s="27"/>
      <c r="D138" s="22"/>
      <c r="E138" s="27" t="s">
        <v>281</v>
      </c>
      <c r="F138" s="25" t="n">
        <v>0</v>
      </c>
      <c r="G138" s="26"/>
      <c r="H138" s="26"/>
    </row>
    <row r="139" customFormat="false" ht="30" hidden="false" customHeight="true" outlineLevel="0" collapsed="false">
      <c r="A139" s="22"/>
      <c r="B139" s="22" t="s">
        <v>278</v>
      </c>
      <c r="C139" s="27"/>
      <c r="D139" s="22"/>
      <c r="E139" s="27" t="s">
        <v>282</v>
      </c>
      <c r="F139" s="25" t="n">
        <v>0</v>
      </c>
      <c r="G139" s="26"/>
      <c r="H139" s="26"/>
    </row>
    <row r="140" customFormat="false" ht="30" hidden="false" customHeight="true" outlineLevel="0" collapsed="false">
      <c r="A140" s="22" t="s">
        <v>277</v>
      </c>
      <c r="B140" s="22" t="s">
        <v>283</v>
      </c>
      <c r="C140" s="23" t="s">
        <v>284</v>
      </c>
      <c r="D140" s="28" t="s">
        <v>71</v>
      </c>
      <c r="E140" s="23" t="s">
        <v>285</v>
      </c>
      <c r="F140" s="25" t="n">
        <v>0</v>
      </c>
      <c r="G140" s="26"/>
      <c r="H140" s="26"/>
    </row>
    <row r="141" customFormat="false" ht="30" hidden="false" customHeight="true" outlineLevel="0" collapsed="false">
      <c r="A141" s="22"/>
      <c r="B141" s="22" t="s">
        <v>283</v>
      </c>
      <c r="C141" s="23"/>
      <c r="D141" s="22"/>
      <c r="E141" s="23" t="s">
        <v>286</v>
      </c>
      <c r="F141" s="25" t="n">
        <v>0</v>
      </c>
      <c r="G141" s="26"/>
      <c r="H141" s="26"/>
    </row>
    <row r="142" customFormat="false" ht="30" hidden="false" customHeight="true" outlineLevel="0" collapsed="false">
      <c r="A142" s="22"/>
      <c r="B142" s="22" t="s">
        <v>283</v>
      </c>
      <c r="C142" s="23"/>
      <c r="D142" s="22"/>
      <c r="E142" s="23" t="s">
        <v>287</v>
      </c>
      <c r="F142" s="25" t="n">
        <v>0</v>
      </c>
      <c r="G142" s="26"/>
      <c r="H142" s="26"/>
    </row>
    <row r="143" customFormat="false" ht="30" hidden="false" customHeight="true" outlineLevel="0" collapsed="false">
      <c r="A143" s="22" t="s">
        <v>277</v>
      </c>
      <c r="B143" s="22" t="s">
        <v>288</v>
      </c>
      <c r="C143" s="27" t="s">
        <v>289</v>
      </c>
      <c r="D143" s="29" t="s">
        <v>92</v>
      </c>
      <c r="E143" s="27" t="s">
        <v>290</v>
      </c>
      <c r="F143" s="25" t="n">
        <v>0</v>
      </c>
      <c r="G143" s="26"/>
      <c r="H143" s="26"/>
    </row>
    <row r="144" customFormat="false" ht="30" hidden="false" customHeight="true" outlineLevel="0" collapsed="false">
      <c r="A144" s="22"/>
      <c r="B144" s="22" t="s">
        <v>288</v>
      </c>
      <c r="C144" s="27"/>
      <c r="D144" s="22"/>
      <c r="E144" s="27" t="s">
        <v>291</v>
      </c>
      <c r="F144" s="25" t="n">
        <v>0</v>
      </c>
      <c r="G144" s="26"/>
      <c r="H144" s="26"/>
    </row>
    <row r="145" customFormat="false" ht="30" hidden="false" customHeight="true" outlineLevel="0" collapsed="false">
      <c r="A145" s="22"/>
      <c r="B145" s="22" t="s">
        <v>288</v>
      </c>
      <c r="C145" s="27"/>
      <c r="D145" s="22"/>
      <c r="E145" s="27" t="s">
        <v>292</v>
      </c>
      <c r="F145" s="25" t="n">
        <v>0</v>
      </c>
      <c r="G145" s="26"/>
      <c r="H145" s="26"/>
    </row>
    <row r="146" customFormat="false" ht="30" hidden="false" customHeight="true" outlineLevel="0" collapsed="false">
      <c r="A146" s="22" t="s">
        <v>277</v>
      </c>
      <c r="B146" s="22" t="s">
        <v>293</v>
      </c>
      <c r="C146" s="23" t="s">
        <v>294</v>
      </c>
      <c r="D146" s="28" t="s">
        <v>71</v>
      </c>
      <c r="E146" s="23" t="s">
        <v>295</v>
      </c>
      <c r="F146" s="25" t="n">
        <v>0</v>
      </c>
      <c r="G146" s="26"/>
      <c r="H146" s="26"/>
    </row>
    <row r="147" customFormat="false" ht="30" hidden="false" customHeight="true" outlineLevel="0" collapsed="false">
      <c r="A147" s="22"/>
      <c r="B147" s="22" t="s">
        <v>293</v>
      </c>
      <c r="C147" s="23"/>
      <c r="D147" s="22"/>
      <c r="E147" s="23" t="s">
        <v>296</v>
      </c>
      <c r="F147" s="25" t="n">
        <v>0</v>
      </c>
      <c r="G147" s="26"/>
      <c r="H147" s="26"/>
    </row>
    <row r="148" customFormat="false" ht="30" hidden="false" customHeight="true" outlineLevel="0" collapsed="false">
      <c r="A148" s="22"/>
      <c r="B148" s="22" t="s">
        <v>293</v>
      </c>
      <c r="C148" s="23"/>
      <c r="D148" s="22"/>
      <c r="E148" s="23" t="s">
        <v>297</v>
      </c>
      <c r="F148" s="25" t="n">
        <v>0</v>
      </c>
      <c r="G148" s="26"/>
      <c r="H148" s="26"/>
    </row>
    <row r="149" customFormat="false" ht="30" hidden="false" customHeight="true" outlineLevel="0" collapsed="false">
      <c r="A149" s="22" t="s">
        <v>277</v>
      </c>
      <c r="B149" s="22" t="s">
        <v>298</v>
      </c>
      <c r="C149" s="27" t="s">
        <v>299</v>
      </c>
      <c r="D149" s="28" t="s">
        <v>71</v>
      </c>
      <c r="E149" s="27" t="s">
        <v>300</v>
      </c>
      <c r="F149" s="25" t="n">
        <v>0</v>
      </c>
      <c r="G149" s="26"/>
      <c r="H149" s="26"/>
    </row>
    <row r="150" customFormat="false" ht="30" hidden="false" customHeight="true" outlineLevel="0" collapsed="false">
      <c r="A150" s="22"/>
      <c r="B150" s="22" t="s">
        <v>298</v>
      </c>
      <c r="C150" s="27"/>
      <c r="D150" s="22"/>
      <c r="E150" s="27" t="s">
        <v>301</v>
      </c>
      <c r="F150" s="25" t="n">
        <v>0</v>
      </c>
      <c r="G150" s="26"/>
      <c r="H150" s="26"/>
    </row>
    <row r="151" customFormat="false" ht="30" hidden="false" customHeight="true" outlineLevel="0" collapsed="false">
      <c r="A151" s="22"/>
      <c r="B151" s="22" t="s">
        <v>298</v>
      </c>
      <c r="C151" s="27"/>
      <c r="D151" s="22"/>
      <c r="E151" s="27" t="s">
        <v>302</v>
      </c>
      <c r="F151" s="25" t="n">
        <v>0</v>
      </c>
      <c r="G151" s="26"/>
      <c r="H151" s="26"/>
    </row>
    <row r="152" customFormat="false" ht="30" hidden="false" customHeight="true" outlineLevel="0" collapsed="false">
      <c r="A152" s="22" t="s">
        <v>277</v>
      </c>
      <c r="B152" s="22" t="s">
        <v>303</v>
      </c>
      <c r="C152" s="23" t="s">
        <v>304</v>
      </c>
      <c r="D152" s="29" t="s">
        <v>92</v>
      </c>
      <c r="E152" s="23" t="s">
        <v>305</v>
      </c>
      <c r="F152" s="25" t="n">
        <v>0</v>
      </c>
      <c r="G152" s="26"/>
      <c r="H152" s="26"/>
    </row>
    <row r="153" customFormat="false" ht="30" hidden="false" customHeight="true" outlineLevel="0" collapsed="false">
      <c r="A153" s="22"/>
      <c r="B153" s="22" t="s">
        <v>303</v>
      </c>
      <c r="C153" s="23"/>
      <c r="D153" s="22"/>
      <c r="E153" s="23" t="s">
        <v>306</v>
      </c>
      <c r="F153" s="25" t="n">
        <v>0</v>
      </c>
      <c r="G153" s="26"/>
      <c r="H153" s="26"/>
    </row>
    <row r="154" customFormat="false" ht="30" hidden="false" customHeight="true" outlineLevel="0" collapsed="false">
      <c r="A154" s="22"/>
      <c r="B154" s="22" t="s">
        <v>303</v>
      </c>
      <c r="C154" s="23"/>
      <c r="D154" s="22"/>
      <c r="E154" s="23" t="s">
        <v>307</v>
      </c>
      <c r="F154" s="25" t="n">
        <v>0</v>
      </c>
      <c r="G154" s="26"/>
      <c r="H154" s="26"/>
    </row>
    <row r="155" customFormat="false" ht="30" hidden="false" customHeight="true" outlineLevel="0" collapsed="false">
      <c r="A155" s="22" t="s">
        <v>308</v>
      </c>
      <c r="B155" s="22" t="s">
        <v>309</v>
      </c>
      <c r="C155" s="27" t="s">
        <v>310</v>
      </c>
      <c r="D155" s="24" t="s">
        <v>45</v>
      </c>
      <c r="E155" s="27" t="s">
        <v>311</v>
      </c>
      <c r="F155" s="25" t="n">
        <v>0</v>
      </c>
      <c r="G155" s="26"/>
      <c r="H155" s="26"/>
    </row>
    <row r="156" customFormat="false" ht="30" hidden="false" customHeight="true" outlineLevel="0" collapsed="false">
      <c r="A156" s="22"/>
      <c r="B156" s="22" t="s">
        <v>309</v>
      </c>
      <c r="C156" s="27"/>
      <c r="D156" s="22"/>
      <c r="E156" s="27" t="s">
        <v>312</v>
      </c>
      <c r="F156" s="25" t="n">
        <v>0</v>
      </c>
      <c r="G156" s="26"/>
      <c r="H156" s="26"/>
    </row>
    <row r="157" customFormat="false" ht="30" hidden="false" customHeight="true" outlineLevel="0" collapsed="false">
      <c r="A157" s="22"/>
      <c r="B157" s="22" t="s">
        <v>309</v>
      </c>
      <c r="C157" s="27"/>
      <c r="D157" s="22"/>
      <c r="E157" s="27" t="s">
        <v>313</v>
      </c>
      <c r="F157" s="25" t="n">
        <v>0</v>
      </c>
      <c r="G157" s="26"/>
      <c r="H157" s="26"/>
    </row>
    <row r="158" customFormat="false" ht="30" hidden="false" customHeight="true" outlineLevel="0" collapsed="false">
      <c r="A158" s="22" t="s">
        <v>308</v>
      </c>
      <c r="B158" s="22" t="s">
        <v>314</v>
      </c>
      <c r="C158" s="23" t="s">
        <v>315</v>
      </c>
      <c r="D158" s="28" t="s">
        <v>71</v>
      </c>
      <c r="E158" s="23" t="s">
        <v>316</v>
      </c>
      <c r="F158" s="25" t="n">
        <v>0</v>
      </c>
      <c r="G158" s="26"/>
      <c r="H158" s="26"/>
    </row>
    <row r="159" customFormat="false" ht="30" hidden="false" customHeight="true" outlineLevel="0" collapsed="false">
      <c r="A159" s="22"/>
      <c r="B159" s="22" t="s">
        <v>314</v>
      </c>
      <c r="C159" s="23"/>
      <c r="D159" s="22"/>
      <c r="E159" s="23" t="s">
        <v>317</v>
      </c>
      <c r="F159" s="25" t="n">
        <v>0</v>
      </c>
      <c r="G159" s="26"/>
      <c r="H159" s="26"/>
    </row>
    <row r="160" customFormat="false" ht="30" hidden="false" customHeight="true" outlineLevel="0" collapsed="false">
      <c r="A160" s="22"/>
      <c r="B160" s="22" t="s">
        <v>314</v>
      </c>
      <c r="C160" s="23"/>
      <c r="D160" s="22"/>
      <c r="E160" s="23" t="s">
        <v>318</v>
      </c>
      <c r="F160" s="25" t="n">
        <v>0</v>
      </c>
      <c r="G160" s="26"/>
      <c r="H160" s="26"/>
    </row>
    <row r="161" customFormat="false" ht="30" hidden="false" customHeight="true" outlineLevel="0" collapsed="false">
      <c r="A161" s="22" t="s">
        <v>308</v>
      </c>
      <c r="B161" s="22" t="s">
        <v>319</v>
      </c>
      <c r="C161" s="27" t="s">
        <v>320</v>
      </c>
      <c r="D161" s="24" t="s">
        <v>45</v>
      </c>
      <c r="E161" s="27" t="s">
        <v>321</v>
      </c>
      <c r="F161" s="25" t="n">
        <v>0</v>
      </c>
      <c r="G161" s="26"/>
      <c r="H161" s="26"/>
    </row>
    <row r="162" customFormat="false" ht="30" hidden="false" customHeight="true" outlineLevel="0" collapsed="false">
      <c r="A162" s="22"/>
      <c r="B162" s="22" t="s">
        <v>319</v>
      </c>
      <c r="C162" s="27"/>
      <c r="D162" s="22"/>
      <c r="E162" s="27" t="s">
        <v>322</v>
      </c>
      <c r="F162" s="25" t="n">
        <v>0</v>
      </c>
      <c r="G162" s="26"/>
      <c r="H162" s="26"/>
    </row>
    <row r="163" customFormat="false" ht="30" hidden="false" customHeight="true" outlineLevel="0" collapsed="false">
      <c r="A163" s="22"/>
      <c r="B163" s="22" t="s">
        <v>319</v>
      </c>
      <c r="C163" s="27"/>
      <c r="D163" s="22"/>
      <c r="E163" s="27" t="s">
        <v>323</v>
      </c>
      <c r="F163" s="25" t="n">
        <v>0</v>
      </c>
      <c r="G163" s="26"/>
      <c r="H163" s="26"/>
    </row>
    <row r="164" customFormat="false" ht="30" hidden="false" customHeight="true" outlineLevel="0" collapsed="false">
      <c r="A164" s="22" t="s">
        <v>308</v>
      </c>
      <c r="B164" s="22" t="s">
        <v>324</v>
      </c>
      <c r="C164" s="23" t="s">
        <v>325</v>
      </c>
      <c r="D164" s="29" t="s">
        <v>92</v>
      </c>
      <c r="E164" s="23" t="s">
        <v>326</v>
      </c>
      <c r="F164" s="25" t="n">
        <v>0</v>
      </c>
      <c r="G164" s="26"/>
      <c r="H164" s="26"/>
    </row>
    <row r="165" customFormat="false" ht="30" hidden="false" customHeight="true" outlineLevel="0" collapsed="false">
      <c r="A165" s="22"/>
      <c r="B165" s="22" t="s">
        <v>324</v>
      </c>
      <c r="C165" s="23"/>
      <c r="D165" s="22"/>
      <c r="E165" s="23" t="s">
        <v>327</v>
      </c>
      <c r="F165" s="25" t="n">
        <v>0</v>
      </c>
      <c r="G165" s="26"/>
      <c r="H165" s="26"/>
    </row>
    <row r="166" customFormat="false" ht="30" hidden="false" customHeight="true" outlineLevel="0" collapsed="false">
      <c r="A166" s="22"/>
      <c r="B166" s="22" t="s">
        <v>324</v>
      </c>
      <c r="C166" s="23"/>
      <c r="D166" s="22"/>
      <c r="E166" s="23" t="s">
        <v>328</v>
      </c>
      <c r="F166" s="25" t="n">
        <v>0</v>
      </c>
      <c r="G166" s="26"/>
      <c r="H166" s="26"/>
    </row>
    <row r="167" customFormat="false" ht="30" hidden="false" customHeight="true" outlineLevel="0" collapsed="false">
      <c r="A167" s="22" t="s">
        <v>329</v>
      </c>
      <c r="B167" s="22" t="s">
        <v>330</v>
      </c>
      <c r="C167" s="27" t="s">
        <v>331</v>
      </c>
      <c r="D167" s="28" t="s">
        <v>71</v>
      </c>
      <c r="E167" s="27" t="s">
        <v>332</v>
      </c>
      <c r="F167" s="25" t="n">
        <v>0</v>
      </c>
      <c r="G167" s="26"/>
      <c r="H167" s="26"/>
    </row>
    <row r="168" customFormat="false" ht="30" hidden="false" customHeight="true" outlineLevel="0" collapsed="false">
      <c r="A168" s="22"/>
      <c r="B168" s="22" t="s">
        <v>330</v>
      </c>
      <c r="C168" s="27"/>
      <c r="D168" s="22"/>
      <c r="E168" s="27" t="s">
        <v>333</v>
      </c>
      <c r="F168" s="25" t="n">
        <v>0</v>
      </c>
      <c r="G168" s="26"/>
      <c r="H168" s="26"/>
    </row>
    <row r="169" customFormat="false" ht="30" hidden="false" customHeight="true" outlineLevel="0" collapsed="false">
      <c r="A169" s="22"/>
      <c r="B169" s="22" t="s">
        <v>330</v>
      </c>
      <c r="C169" s="27"/>
      <c r="D169" s="22"/>
      <c r="E169" s="27" t="s">
        <v>334</v>
      </c>
      <c r="F169" s="25" t="n">
        <v>0</v>
      </c>
      <c r="G169" s="26"/>
      <c r="H169" s="26"/>
    </row>
    <row r="170" customFormat="false" ht="30" hidden="false" customHeight="true" outlineLevel="0" collapsed="false">
      <c r="A170" s="22" t="s">
        <v>329</v>
      </c>
      <c r="B170" s="22" t="s">
        <v>335</v>
      </c>
      <c r="C170" s="23" t="s">
        <v>336</v>
      </c>
      <c r="D170" s="24" t="s">
        <v>45</v>
      </c>
      <c r="E170" s="23" t="s">
        <v>337</v>
      </c>
      <c r="F170" s="25" t="n">
        <v>0</v>
      </c>
      <c r="G170" s="26"/>
      <c r="H170" s="26"/>
    </row>
    <row r="171" customFormat="false" ht="30" hidden="false" customHeight="true" outlineLevel="0" collapsed="false">
      <c r="A171" s="22"/>
      <c r="B171" s="22" t="s">
        <v>335</v>
      </c>
      <c r="C171" s="23"/>
      <c r="D171" s="22"/>
      <c r="E171" s="23" t="s">
        <v>338</v>
      </c>
      <c r="F171" s="25" t="n">
        <v>0</v>
      </c>
      <c r="G171" s="26"/>
      <c r="H171" s="26"/>
    </row>
    <row r="172" customFormat="false" ht="30" hidden="false" customHeight="true" outlineLevel="0" collapsed="false">
      <c r="A172" s="22"/>
      <c r="B172" s="22" t="s">
        <v>335</v>
      </c>
      <c r="C172" s="23"/>
      <c r="D172" s="22"/>
      <c r="E172" s="23" t="s">
        <v>339</v>
      </c>
      <c r="F172" s="25" t="n">
        <v>0</v>
      </c>
      <c r="G172" s="26"/>
      <c r="H172" s="26"/>
    </row>
    <row r="173" customFormat="false" ht="30" hidden="false" customHeight="true" outlineLevel="0" collapsed="false">
      <c r="A173" s="22" t="s">
        <v>329</v>
      </c>
      <c r="B173" s="22" t="s">
        <v>340</v>
      </c>
      <c r="C173" s="27" t="s">
        <v>341</v>
      </c>
      <c r="D173" s="24" t="s">
        <v>45</v>
      </c>
      <c r="E173" s="27" t="s">
        <v>342</v>
      </c>
      <c r="F173" s="25" t="n">
        <v>0</v>
      </c>
      <c r="G173" s="26"/>
      <c r="H173" s="26"/>
    </row>
    <row r="174" customFormat="false" ht="30" hidden="false" customHeight="true" outlineLevel="0" collapsed="false">
      <c r="A174" s="22"/>
      <c r="B174" s="22" t="s">
        <v>340</v>
      </c>
      <c r="C174" s="27"/>
      <c r="D174" s="22"/>
      <c r="E174" s="27" t="s">
        <v>343</v>
      </c>
      <c r="F174" s="25" t="n">
        <v>0</v>
      </c>
      <c r="G174" s="26"/>
      <c r="H174" s="26"/>
    </row>
    <row r="175" customFormat="false" ht="30" hidden="false" customHeight="true" outlineLevel="0" collapsed="false">
      <c r="A175" s="22"/>
      <c r="B175" s="22" t="s">
        <v>340</v>
      </c>
      <c r="C175" s="27"/>
      <c r="D175" s="22"/>
      <c r="E175" s="27" t="s">
        <v>344</v>
      </c>
      <c r="F175" s="25" t="n">
        <v>0</v>
      </c>
      <c r="G175" s="26"/>
      <c r="H175" s="26"/>
    </row>
    <row r="176" customFormat="false" ht="30" hidden="false" customHeight="true" outlineLevel="0" collapsed="false">
      <c r="A176" s="22" t="s">
        <v>329</v>
      </c>
      <c r="B176" s="22" t="s">
        <v>345</v>
      </c>
      <c r="C176" s="23" t="s">
        <v>346</v>
      </c>
      <c r="D176" s="28" t="s">
        <v>71</v>
      </c>
      <c r="E176" s="23" t="s">
        <v>347</v>
      </c>
      <c r="F176" s="25" t="n">
        <v>0</v>
      </c>
      <c r="G176" s="26"/>
      <c r="H176" s="26"/>
    </row>
    <row r="177" customFormat="false" ht="30" hidden="false" customHeight="true" outlineLevel="0" collapsed="false">
      <c r="A177" s="22"/>
      <c r="B177" s="22" t="s">
        <v>345</v>
      </c>
      <c r="C177" s="23"/>
      <c r="D177" s="22"/>
      <c r="E177" s="23" t="s">
        <v>348</v>
      </c>
      <c r="F177" s="25" t="n">
        <v>0</v>
      </c>
      <c r="G177" s="26"/>
      <c r="H177" s="26"/>
    </row>
    <row r="178" customFormat="false" ht="30" hidden="false" customHeight="true" outlineLevel="0" collapsed="false">
      <c r="A178" s="22"/>
      <c r="B178" s="22" t="s">
        <v>345</v>
      </c>
      <c r="C178" s="23"/>
      <c r="D178" s="22"/>
      <c r="E178" s="23" t="s">
        <v>349</v>
      </c>
      <c r="F178" s="25" t="n">
        <v>0</v>
      </c>
      <c r="G178" s="26"/>
      <c r="H178" s="26"/>
    </row>
  </sheetData>
  <autoFilter ref="A1:H178"/>
  <conditionalFormatting sqref="F2:F178">
    <cfRule type="colorScale" priority="2">
      <colorScale>
        <cfvo type="num" val="0"/>
        <cfvo type="num" val="2"/>
        <cfvo type="num" val="4"/>
        <color rgb="FFF4737A"/>
        <color rgb="FFFFE08A"/>
        <color rgb="FF7BC07F"/>
      </colorScale>
    </cfRule>
  </conditionalFormatting>
  <dataValidations count="1">
    <dataValidation allowBlank="false" error="Use un nivel de 0 a 4 (ver hoja Escala)." errorStyle="stop" errorTitle="Nivel inválido" operator="between" showDropDown="false" showErrorMessage="false" showInputMessage="false" sqref="F2:F178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350</v>
      </c>
      <c r="F1" s="10" t="s">
        <v>21</v>
      </c>
      <c r="G1" s="10" t="s">
        <v>351</v>
      </c>
      <c r="H1" s="10" t="s">
        <v>352</v>
      </c>
    </row>
    <row r="2" customFormat="false" ht="15" hidden="false" customHeight="false" outlineLevel="0" collapsed="false">
      <c r="A2" s="30" t="s">
        <v>42</v>
      </c>
      <c r="B2" s="30" t="s">
        <v>43</v>
      </c>
      <c r="C2" s="31" t="s">
        <v>44</v>
      </c>
      <c r="D2" s="30" t="s">
        <v>45</v>
      </c>
      <c r="E2" s="32" t="n">
        <f aca="false">IFERROR(AVERAGEIF(Autoevaluación!$B$2:$B$178,B2,Autoevaluación!$F$2:$F$178),0)</f>
        <v>0</v>
      </c>
      <c r="F2" s="31" t="str">
        <f aca="false">IFERROR(VLOOKUP(ROUND(E2,0),Escala!$A$4:$B$8,2,FALSE()),"")</f>
        <v>Ausente</v>
      </c>
      <c r="G2" s="30" t="str">
        <f aca="false">IF(E2&gt;=3,"Sí","No")</f>
        <v>No</v>
      </c>
      <c r="H2" s="33" t="str">
        <f aca="false">IF(E2&gt;=3,"En ley",IF(D2="Núcleo","ALTA",IF(D2="Intermedio","MEDIA","BAJA")))</f>
        <v>ALTA</v>
      </c>
    </row>
    <row r="3" customFormat="false" ht="15" hidden="false" customHeight="false" outlineLevel="0" collapsed="false">
      <c r="A3" s="30" t="s">
        <v>42</v>
      </c>
      <c r="B3" s="30" t="s">
        <v>49</v>
      </c>
      <c r="C3" s="31" t="s">
        <v>50</v>
      </c>
      <c r="D3" s="30" t="s">
        <v>45</v>
      </c>
      <c r="E3" s="32" t="n">
        <f aca="false">IFERROR(AVERAGEIF(Autoevaluación!$B$2:$B$178,B3,Autoevaluación!$F$2:$F$178),0)</f>
        <v>0</v>
      </c>
      <c r="F3" s="31" t="str">
        <f aca="false">IFERROR(VLOOKUP(ROUND(E3,0),Escala!$A$4:$B$8,2,FALSE()),"")</f>
        <v>Ausente</v>
      </c>
      <c r="G3" s="30" t="str">
        <f aca="false">IF(E3&gt;=3,"Sí","No")</f>
        <v>No</v>
      </c>
      <c r="H3" s="33" t="str">
        <f aca="false">IF(E3&gt;=3,"En ley",IF(D3="Núcleo","ALTA",IF(D3="Intermedio","MEDIA","BAJA")))</f>
        <v>ALTA</v>
      </c>
    </row>
    <row r="4" customFormat="false" ht="15" hidden="false" customHeight="false" outlineLevel="0" collapsed="false">
      <c r="A4" s="30" t="s">
        <v>42</v>
      </c>
      <c r="B4" s="30" t="s">
        <v>54</v>
      </c>
      <c r="C4" s="31" t="s">
        <v>55</v>
      </c>
      <c r="D4" s="30" t="s">
        <v>45</v>
      </c>
      <c r="E4" s="32" t="n">
        <f aca="false">IFERROR(AVERAGEIF(Autoevaluación!$B$2:$B$178,B4,Autoevaluación!$F$2:$F$178),0)</f>
        <v>0</v>
      </c>
      <c r="F4" s="31" t="str">
        <f aca="false">IFERROR(VLOOKUP(ROUND(E4,0),Escala!$A$4:$B$8,2,FALSE()),"")</f>
        <v>Ausente</v>
      </c>
      <c r="G4" s="30" t="str">
        <f aca="false">IF(E4&gt;=3,"Sí","No")</f>
        <v>No</v>
      </c>
      <c r="H4" s="33" t="str">
        <f aca="false">IF(E4&gt;=3,"En ley",IF(D4="Núcleo","ALTA",IF(D4="Intermedio","MEDIA","BAJA")))</f>
        <v>ALTA</v>
      </c>
    </row>
    <row r="5" customFormat="false" ht="15" hidden="false" customHeight="false" outlineLevel="0" collapsed="false">
      <c r="A5" s="30" t="s">
        <v>42</v>
      </c>
      <c r="B5" s="30" t="s">
        <v>59</v>
      </c>
      <c r="C5" s="31" t="s">
        <v>60</v>
      </c>
      <c r="D5" s="30" t="s">
        <v>45</v>
      </c>
      <c r="E5" s="32" t="n">
        <f aca="false">IFERROR(AVERAGEIF(Autoevaluación!$B$2:$B$178,B5,Autoevaluación!$F$2:$F$178),0)</f>
        <v>0</v>
      </c>
      <c r="F5" s="31" t="str">
        <f aca="false">IFERROR(VLOOKUP(ROUND(E5,0),Escala!$A$4:$B$8,2,FALSE()),"")</f>
        <v>Ausente</v>
      </c>
      <c r="G5" s="30" t="str">
        <f aca="false">IF(E5&gt;=3,"Sí","No")</f>
        <v>No</v>
      </c>
      <c r="H5" s="33" t="str">
        <f aca="false">IF(E5&gt;=3,"En ley",IF(D5="Núcleo","ALTA",IF(D5="Intermedio","MEDIA","BAJA")))</f>
        <v>ALTA</v>
      </c>
    </row>
    <row r="6" customFormat="false" ht="15" hidden="false" customHeight="false" outlineLevel="0" collapsed="false">
      <c r="A6" s="30" t="s">
        <v>42</v>
      </c>
      <c r="B6" s="30" t="s">
        <v>64</v>
      </c>
      <c r="C6" s="31" t="s">
        <v>65</v>
      </c>
      <c r="D6" s="30" t="s">
        <v>45</v>
      </c>
      <c r="E6" s="32" t="n">
        <f aca="false">IFERROR(AVERAGEIF(Autoevaluación!$B$2:$B$178,B6,Autoevaluación!$F$2:$F$178),0)</f>
        <v>0</v>
      </c>
      <c r="F6" s="31" t="str">
        <f aca="false">IFERROR(VLOOKUP(ROUND(E6,0),Escala!$A$4:$B$8,2,FALSE()),"")</f>
        <v>Ausente</v>
      </c>
      <c r="G6" s="30" t="str">
        <f aca="false">IF(E6&gt;=3,"Sí","No")</f>
        <v>No</v>
      </c>
      <c r="H6" s="33" t="str">
        <f aca="false">IF(E6&gt;=3,"En ley",IF(D6="Núcleo","ALTA",IF(D6="Intermedio","MEDIA","BAJA")))</f>
        <v>ALTA</v>
      </c>
    </row>
    <row r="7" customFormat="false" ht="15" hidden="false" customHeight="false" outlineLevel="0" collapsed="false">
      <c r="A7" s="30" t="s">
        <v>42</v>
      </c>
      <c r="B7" s="30" t="s">
        <v>69</v>
      </c>
      <c r="C7" s="31" t="s">
        <v>70</v>
      </c>
      <c r="D7" s="30" t="s">
        <v>71</v>
      </c>
      <c r="E7" s="32" t="n">
        <f aca="false">IFERROR(AVERAGEIF(Autoevaluación!$B$2:$B$178,B7,Autoevaluación!$F$2:$F$178),0)</f>
        <v>0</v>
      </c>
      <c r="F7" s="31" t="str">
        <f aca="false">IFERROR(VLOOKUP(ROUND(E7,0),Escala!$A$4:$B$8,2,FALSE()),"")</f>
        <v>Ausente</v>
      </c>
      <c r="G7" s="30" t="str">
        <f aca="false">IF(E7&gt;=3,"Sí","No")</f>
        <v>No</v>
      </c>
      <c r="H7" s="33" t="str">
        <f aca="false">IF(E7&gt;=3,"En ley",IF(D7="Núcleo","ALTA",IF(D7="Intermedio","MEDIA","BAJA")))</f>
        <v>MEDIA</v>
      </c>
    </row>
    <row r="8" customFormat="false" ht="15" hidden="false" customHeight="false" outlineLevel="0" collapsed="false">
      <c r="A8" s="30" t="s">
        <v>42</v>
      </c>
      <c r="B8" s="30" t="s">
        <v>75</v>
      </c>
      <c r="C8" s="31" t="s">
        <v>76</v>
      </c>
      <c r="D8" s="30" t="s">
        <v>45</v>
      </c>
      <c r="E8" s="32" t="n">
        <f aca="false">IFERROR(AVERAGEIF(Autoevaluación!$B$2:$B$178,B8,Autoevaluación!$F$2:$F$178),0)</f>
        <v>0</v>
      </c>
      <c r="F8" s="31" t="str">
        <f aca="false">IFERROR(VLOOKUP(ROUND(E8,0),Escala!$A$4:$B$8,2,FALSE()),"")</f>
        <v>Ausente</v>
      </c>
      <c r="G8" s="30" t="str">
        <f aca="false">IF(E8&gt;=3,"Sí","No")</f>
        <v>No</v>
      </c>
      <c r="H8" s="33" t="str">
        <f aca="false">IF(E8&gt;=3,"En ley",IF(D8="Núcleo","ALTA",IF(D8="Intermedio","MEDIA","BAJA")))</f>
        <v>ALTA</v>
      </c>
    </row>
    <row r="9" customFormat="false" ht="15" hidden="false" customHeight="false" outlineLevel="0" collapsed="false">
      <c r="A9" s="30" t="s">
        <v>42</v>
      </c>
      <c r="B9" s="30" t="s">
        <v>80</v>
      </c>
      <c r="C9" s="31" t="s">
        <v>81</v>
      </c>
      <c r="D9" s="30" t="s">
        <v>71</v>
      </c>
      <c r="E9" s="32" t="n">
        <f aca="false">IFERROR(AVERAGEIF(Autoevaluación!$B$2:$B$178,B9,Autoevaluación!$F$2:$F$178),0)</f>
        <v>0</v>
      </c>
      <c r="F9" s="31" t="str">
        <f aca="false">IFERROR(VLOOKUP(ROUND(E9,0),Escala!$A$4:$B$8,2,FALSE()),"")</f>
        <v>Ausente</v>
      </c>
      <c r="G9" s="30" t="str">
        <f aca="false">IF(E9&gt;=3,"Sí","No")</f>
        <v>No</v>
      </c>
      <c r="H9" s="33" t="str">
        <f aca="false">IF(E9&gt;=3,"En ley",IF(D9="Núcleo","ALTA",IF(D9="Intermedio","MEDIA","BAJA")))</f>
        <v>MEDIA</v>
      </c>
    </row>
    <row r="10" customFormat="false" ht="15" hidden="false" customHeight="false" outlineLevel="0" collapsed="false">
      <c r="A10" s="30" t="s">
        <v>42</v>
      </c>
      <c r="B10" s="30" t="s">
        <v>85</v>
      </c>
      <c r="C10" s="31" t="s">
        <v>86</v>
      </c>
      <c r="D10" s="30" t="s">
        <v>71</v>
      </c>
      <c r="E10" s="32" t="n">
        <f aca="false">IFERROR(AVERAGEIF(Autoevaluación!$B$2:$B$178,B10,Autoevaluación!$F$2:$F$178),0)</f>
        <v>0</v>
      </c>
      <c r="F10" s="31" t="str">
        <f aca="false">IFERROR(VLOOKUP(ROUND(E10,0),Escala!$A$4:$B$8,2,FALSE()),"")</f>
        <v>Ausente</v>
      </c>
      <c r="G10" s="30" t="str">
        <f aca="false">IF(E10&gt;=3,"Sí","No")</f>
        <v>No</v>
      </c>
      <c r="H10" s="33" t="str">
        <f aca="false">IF(E10&gt;=3,"En ley",IF(D10="Núcleo","ALTA",IF(D10="Intermedio","MEDIA","BAJA")))</f>
        <v>MEDIA</v>
      </c>
    </row>
    <row r="11" customFormat="false" ht="15" hidden="false" customHeight="false" outlineLevel="0" collapsed="false">
      <c r="A11" s="30" t="s">
        <v>42</v>
      </c>
      <c r="B11" s="30" t="s">
        <v>90</v>
      </c>
      <c r="C11" s="31" t="s">
        <v>91</v>
      </c>
      <c r="D11" s="30" t="s">
        <v>92</v>
      </c>
      <c r="E11" s="32" t="n">
        <f aca="false">IFERROR(AVERAGEIF(Autoevaluación!$B$2:$B$178,B11,Autoevaluación!$F$2:$F$178),0)</f>
        <v>0</v>
      </c>
      <c r="F11" s="31" t="str">
        <f aca="false">IFERROR(VLOOKUP(ROUND(E11,0),Escala!$A$4:$B$8,2,FALSE()),"")</f>
        <v>Ausente</v>
      </c>
      <c r="G11" s="30" t="str">
        <f aca="false">IF(E11&gt;=3,"Sí","No")</f>
        <v>No</v>
      </c>
      <c r="H11" s="33" t="str">
        <f aca="false">IF(E11&gt;=3,"En ley",IF(D11="Núcleo","ALTA",IF(D11="Intermedio","MEDIA","BAJA")))</f>
        <v>BAJA</v>
      </c>
    </row>
    <row r="12" customFormat="false" ht="28.35" hidden="false" customHeight="false" outlineLevel="0" collapsed="false">
      <c r="A12" s="30" t="s">
        <v>96</v>
      </c>
      <c r="B12" s="30" t="s">
        <v>97</v>
      </c>
      <c r="C12" s="31" t="s">
        <v>98</v>
      </c>
      <c r="D12" s="30" t="s">
        <v>45</v>
      </c>
      <c r="E12" s="32" t="n">
        <f aca="false">IFERROR(AVERAGEIF(Autoevaluación!$B$2:$B$178,B12,Autoevaluación!$F$2:$F$178),0)</f>
        <v>0</v>
      </c>
      <c r="F12" s="31" t="str">
        <f aca="false">IFERROR(VLOOKUP(ROUND(E12,0),Escala!$A$4:$B$8,2,FALSE()),"")</f>
        <v>Ausente</v>
      </c>
      <c r="G12" s="30" t="str">
        <f aca="false">IF(E12&gt;=3,"Sí","No")</f>
        <v>No</v>
      </c>
      <c r="H12" s="33" t="str">
        <f aca="false">IF(E12&gt;=3,"En ley",IF(D12="Núcleo","ALTA",IF(D12="Intermedio","MEDIA","BAJA")))</f>
        <v>ALTA</v>
      </c>
    </row>
    <row r="13" customFormat="false" ht="15" hidden="false" customHeight="false" outlineLevel="0" collapsed="false">
      <c r="A13" s="30" t="s">
        <v>96</v>
      </c>
      <c r="B13" s="30" t="s">
        <v>102</v>
      </c>
      <c r="C13" s="31" t="s">
        <v>103</v>
      </c>
      <c r="D13" s="30" t="s">
        <v>45</v>
      </c>
      <c r="E13" s="32" t="n">
        <f aca="false">IFERROR(AVERAGEIF(Autoevaluación!$B$2:$B$178,B13,Autoevaluación!$F$2:$F$178),0)</f>
        <v>0</v>
      </c>
      <c r="F13" s="31" t="str">
        <f aca="false">IFERROR(VLOOKUP(ROUND(E13,0),Escala!$A$4:$B$8,2,FALSE()),"")</f>
        <v>Ausente</v>
      </c>
      <c r="G13" s="30" t="str">
        <f aca="false">IF(E13&gt;=3,"Sí","No")</f>
        <v>No</v>
      </c>
      <c r="H13" s="33" t="str">
        <f aca="false">IF(E13&gt;=3,"En ley",IF(D13="Núcleo","ALTA",IF(D13="Intermedio","MEDIA","BAJA")))</f>
        <v>ALTA</v>
      </c>
    </row>
    <row r="14" customFormat="false" ht="15" hidden="false" customHeight="false" outlineLevel="0" collapsed="false">
      <c r="A14" s="30" t="s">
        <v>96</v>
      </c>
      <c r="B14" s="30" t="s">
        <v>107</v>
      </c>
      <c r="C14" s="31" t="s">
        <v>108</v>
      </c>
      <c r="D14" s="30" t="s">
        <v>71</v>
      </c>
      <c r="E14" s="32" t="n">
        <f aca="false">IFERROR(AVERAGEIF(Autoevaluación!$B$2:$B$178,B14,Autoevaluación!$F$2:$F$178),0)</f>
        <v>0</v>
      </c>
      <c r="F14" s="31" t="str">
        <f aca="false">IFERROR(VLOOKUP(ROUND(E14,0),Escala!$A$4:$B$8,2,FALSE()),"")</f>
        <v>Ausente</v>
      </c>
      <c r="G14" s="30" t="str">
        <f aca="false">IF(E14&gt;=3,"Sí","No")</f>
        <v>No</v>
      </c>
      <c r="H14" s="33" t="str">
        <f aca="false">IF(E14&gt;=3,"En ley",IF(D14="Núcleo","ALTA",IF(D14="Intermedio","MEDIA","BAJA")))</f>
        <v>MEDIA</v>
      </c>
    </row>
    <row r="15" customFormat="false" ht="15" hidden="false" customHeight="false" outlineLevel="0" collapsed="false">
      <c r="A15" s="30" t="s">
        <v>96</v>
      </c>
      <c r="B15" s="30" t="s">
        <v>112</v>
      </c>
      <c r="C15" s="31" t="s">
        <v>113</v>
      </c>
      <c r="D15" s="30" t="s">
        <v>92</v>
      </c>
      <c r="E15" s="32" t="n">
        <f aca="false">IFERROR(AVERAGEIF(Autoevaluación!$B$2:$B$178,B15,Autoevaluación!$F$2:$F$178),0)</f>
        <v>0</v>
      </c>
      <c r="F15" s="31" t="str">
        <f aca="false">IFERROR(VLOOKUP(ROUND(E15,0),Escala!$A$4:$B$8,2,FALSE()),"")</f>
        <v>Ausente</v>
      </c>
      <c r="G15" s="30" t="str">
        <f aca="false">IF(E15&gt;=3,"Sí","No")</f>
        <v>No</v>
      </c>
      <c r="H15" s="33" t="str">
        <f aca="false">IF(E15&gt;=3,"En ley",IF(D15="Núcleo","ALTA",IF(D15="Intermedio","MEDIA","BAJA")))</f>
        <v>BAJA</v>
      </c>
    </row>
    <row r="16" customFormat="false" ht="15" hidden="false" customHeight="false" outlineLevel="0" collapsed="false">
      <c r="A16" s="30" t="s">
        <v>96</v>
      </c>
      <c r="B16" s="30" t="s">
        <v>117</v>
      </c>
      <c r="C16" s="31" t="s">
        <v>118</v>
      </c>
      <c r="D16" s="30" t="s">
        <v>71</v>
      </c>
      <c r="E16" s="32" t="n">
        <f aca="false">IFERROR(AVERAGEIF(Autoevaluación!$B$2:$B$178,B16,Autoevaluación!$F$2:$F$178),0)</f>
        <v>0</v>
      </c>
      <c r="F16" s="31" t="str">
        <f aca="false">IFERROR(VLOOKUP(ROUND(E16,0),Escala!$A$4:$B$8,2,FALSE()),"")</f>
        <v>Ausente</v>
      </c>
      <c r="G16" s="30" t="str">
        <f aca="false">IF(E16&gt;=3,"Sí","No")</f>
        <v>No</v>
      </c>
      <c r="H16" s="33" t="str">
        <f aca="false">IF(E16&gt;=3,"En ley",IF(D16="Núcleo","ALTA",IF(D16="Intermedio","MEDIA","BAJA")))</f>
        <v>MEDIA</v>
      </c>
    </row>
    <row r="17" customFormat="false" ht="15" hidden="false" customHeight="false" outlineLevel="0" collapsed="false">
      <c r="A17" s="30" t="s">
        <v>122</v>
      </c>
      <c r="B17" s="30" t="s">
        <v>123</v>
      </c>
      <c r="C17" s="31" t="s">
        <v>124</v>
      </c>
      <c r="D17" s="30" t="s">
        <v>45</v>
      </c>
      <c r="E17" s="32" t="n">
        <f aca="false">IFERROR(AVERAGEIF(Autoevaluación!$B$2:$B$178,B17,Autoevaluación!$F$2:$F$178),0)</f>
        <v>0</v>
      </c>
      <c r="F17" s="31" t="str">
        <f aca="false">IFERROR(VLOOKUP(ROUND(E17,0),Escala!$A$4:$B$8,2,FALSE()),"")</f>
        <v>Ausente</v>
      </c>
      <c r="G17" s="30" t="str">
        <f aca="false">IF(E17&gt;=3,"Sí","No")</f>
        <v>No</v>
      </c>
      <c r="H17" s="33" t="str">
        <f aca="false">IF(E17&gt;=3,"En ley",IF(D17="Núcleo","ALTA",IF(D17="Intermedio","MEDIA","BAJA")))</f>
        <v>ALTA</v>
      </c>
    </row>
    <row r="18" customFormat="false" ht="28.35" hidden="false" customHeight="false" outlineLevel="0" collapsed="false">
      <c r="A18" s="30" t="s">
        <v>122</v>
      </c>
      <c r="B18" s="30" t="s">
        <v>128</v>
      </c>
      <c r="C18" s="31" t="s">
        <v>129</v>
      </c>
      <c r="D18" s="30" t="s">
        <v>45</v>
      </c>
      <c r="E18" s="32" t="n">
        <f aca="false">IFERROR(AVERAGEIF(Autoevaluación!$B$2:$B$178,B18,Autoevaluación!$F$2:$F$178),0)</f>
        <v>0</v>
      </c>
      <c r="F18" s="31" t="str">
        <f aca="false">IFERROR(VLOOKUP(ROUND(E18,0),Escala!$A$4:$B$8,2,FALSE()),"")</f>
        <v>Ausente</v>
      </c>
      <c r="G18" s="30" t="str">
        <f aca="false">IF(E18&gt;=3,"Sí","No")</f>
        <v>No</v>
      </c>
      <c r="H18" s="33" t="str">
        <f aca="false">IF(E18&gt;=3,"En ley",IF(D18="Núcleo","ALTA",IF(D18="Intermedio","MEDIA","BAJA")))</f>
        <v>ALTA</v>
      </c>
    </row>
    <row r="19" customFormat="false" ht="15" hidden="false" customHeight="false" outlineLevel="0" collapsed="false">
      <c r="A19" s="30" t="s">
        <v>122</v>
      </c>
      <c r="B19" s="30" t="s">
        <v>133</v>
      </c>
      <c r="C19" s="31" t="s">
        <v>134</v>
      </c>
      <c r="D19" s="30" t="s">
        <v>71</v>
      </c>
      <c r="E19" s="32" t="n">
        <f aca="false">IFERROR(AVERAGEIF(Autoevaluación!$B$2:$B$178,B19,Autoevaluación!$F$2:$F$178),0)</f>
        <v>0</v>
      </c>
      <c r="F19" s="31" t="str">
        <f aca="false">IFERROR(VLOOKUP(ROUND(E19,0),Escala!$A$4:$B$8,2,FALSE()),"")</f>
        <v>Ausente</v>
      </c>
      <c r="G19" s="30" t="str">
        <f aca="false">IF(E19&gt;=3,"Sí","No")</f>
        <v>No</v>
      </c>
      <c r="H19" s="33" t="str">
        <f aca="false">IF(E19&gt;=3,"En ley",IF(D19="Núcleo","ALTA",IF(D19="Intermedio","MEDIA","BAJA")))</f>
        <v>MEDIA</v>
      </c>
    </row>
    <row r="20" customFormat="false" ht="15" hidden="false" customHeight="false" outlineLevel="0" collapsed="false">
      <c r="A20" s="30" t="s">
        <v>122</v>
      </c>
      <c r="B20" s="30" t="s">
        <v>138</v>
      </c>
      <c r="C20" s="31" t="s">
        <v>139</v>
      </c>
      <c r="D20" s="30" t="s">
        <v>71</v>
      </c>
      <c r="E20" s="32" t="n">
        <f aca="false">IFERROR(AVERAGEIF(Autoevaluación!$B$2:$B$178,B20,Autoevaluación!$F$2:$F$178),0)</f>
        <v>0</v>
      </c>
      <c r="F20" s="31" t="str">
        <f aca="false">IFERROR(VLOOKUP(ROUND(E20,0),Escala!$A$4:$B$8,2,FALSE()),"")</f>
        <v>Ausente</v>
      </c>
      <c r="G20" s="30" t="str">
        <f aca="false">IF(E20&gt;=3,"Sí","No")</f>
        <v>No</v>
      </c>
      <c r="H20" s="33" t="str">
        <f aca="false">IF(E20&gt;=3,"En ley",IF(D20="Núcleo","ALTA",IF(D20="Intermedio","MEDIA","BAJA")))</f>
        <v>MEDIA</v>
      </c>
    </row>
    <row r="21" customFormat="false" ht="28.35" hidden="false" customHeight="false" outlineLevel="0" collapsed="false">
      <c r="A21" s="30" t="s">
        <v>122</v>
      </c>
      <c r="B21" s="30" t="s">
        <v>143</v>
      </c>
      <c r="C21" s="31" t="s">
        <v>144</v>
      </c>
      <c r="D21" s="30" t="s">
        <v>71</v>
      </c>
      <c r="E21" s="32" t="n">
        <f aca="false">IFERROR(AVERAGEIF(Autoevaluación!$B$2:$B$178,B21,Autoevaluación!$F$2:$F$178),0)</f>
        <v>0</v>
      </c>
      <c r="F21" s="31" t="str">
        <f aca="false">IFERROR(VLOOKUP(ROUND(E21,0),Escala!$A$4:$B$8,2,FALSE()),"")</f>
        <v>Ausente</v>
      </c>
      <c r="G21" s="30" t="str">
        <f aca="false">IF(E21&gt;=3,"Sí","No")</f>
        <v>No</v>
      </c>
      <c r="H21" s="33" t="str">
        <f aca="false">IF(E21&gt;=3,"En ley",IF(D21="Núcleo","ALTA",IF(D21="Intermedio","MEDIA","BAJA")))</f>
        <v>MEDIA</v>
      </c>
    </row>
    <row r="22" customFormat="false" ht="15" hidden="false" customHeight="false" outlineLevel="0" collapsed="false">
      <c r="A22" s="30" t="s">
        <v>148</v>
      </c>
      <c r="B22" s="30" t="s">
        <v>149</v>
      </c>
      <c r="C22" s="31" t="s">
        <v>150</v>
      </c>
      <c r="D22" s="30" t="s">
        <v>45</v>
      </c>
      <c r="E22" s="32" t="n">
        <f aca="false">IFERROR(AVERAGEIF(Autoevaluación!$B$2:$B$178,B22,Autoevaluación!$F$2:$F$178),0)</f>
        <v>0</v>
      </c>
      <c r="F22" s="31" t="str">
        <f aca="false">IFERROR(VLOOKUP(ROUND(E22,0),Escala!$A$4:$B$8,2,FALSE()),"")</f>
        <v>Ausente</v>
      </c>
      <c r="G22" s="30" t="str">
        <f aca="false">IF(E22&gt;=3,"Sí","No")</f>
        <v>No</v>
      </c>
      <c r="H22" s="33" t="str">
        <f aca="false">IF(E22&gt;=3,"En ley",IF(D22="Núcleo","ALTA",IF(D22="Intermedio","MEDIA","BAJA")))</f>
        <v>ALTA</v>
      </c>
    </row>
    <row r="23" customFormat="false" ht="15" hidden="false" customHeight="false" outlineLevel="0" collapsed="false">
      <c r="A23" s="30" t="s">
        <v>148</v>
      </c>
      <c r="B23" s="30" t="s">
        <v>154</v>
      </c>
      <c r="C23" s="31" t="s">
        <v>155</v>
      </c>
      <c r="D23" s="30" t="s">
        <v>71</v>
      </c>
      <c r="E23" s="32" t="n">
        <f aca="false">IFERROR(AVERAGEIF(Autoevaluación!$B$2:$B$178,B23,Autoevaluación!$F$2:$F$178),0)</f>
        <v>0</v>
      </c>
      <c r="F23" s="31" t="str">
        <f aca="false">IFERROR(VLOOKUP(ROUND(E23,0),Escala!$A$4:$B$8,2,FALSE()),"")</f>
        <v>Ausente</v>
      </c>
      <c r="G23" s="30" t="str">
        <f aca="false">IF(E23&gt;=3,"Sí","No")</f>
        <v>No</v>
      </c>
      <c r="H23" s="33" t="str">
        <f aca="false">IF(E23&gt;=3,"En ley",IF(D23="Núcleo","ALTA",IF(D23="Intermedio","MEDIA","BAJA")))</f>
        <v>MEDIA</v>
      </c>
    </row>
    <row r="24" customFormat="false" ht="28.35" hidden="false" customHeight="false" outlineLevel="0" collapsed="false">
      <c r="A24" s="30" t="s">
        <v>148</v>
      </c>
      <c r="B24" s="30" t="s">
        <v>159</v>
      </c>
      <c r="C24" s="31" t="s">
        <v>160</v>
      </c>
      <c r="D24" s="30" t="s">
        <v>45</v>
      </c>
      <c r="E24" s="32" t="n">
        <f aca="false">IFERROR(AVERAGEIF(Autoevaluación!$B$2:$B$178,B24,Autoevaluación!$F$2:$F$178),0)</f>
        <v>0</v>
      </c>
      <c r="F24" s="31" t="str">
        <f aca="false">IFERROR(VLOOKUP(ROUND(E24,0),Escala!$A$4:$B$8,2,FALSE()),"")</f>
        <v>Ausente</v>
      </c>
      <c r="G24" s="30" t="str">
        <f aca="false">IF(E24&gt;=3,"Sí","No")</f>
        <v>No</v>
      </c>
      <c r="H24" s="33" t="str">
        <f aca="false">IF(E24&gt;=3,"En ley",IF(D24="Núcleo","ALTA",IF(D24="Intermedio","MEDIA","BAJA")))</f>
        <v>ALTA</v>
      </c>
    </row>
    <row r="25" customFormat="false" ht="15" hidden="false" customHeight="false" outlineLevel="0" collapsed="false">
      <c r="A25" s="30" t="s">
        <v>148</v>
      </c>
      <c r="B25" s="30" t="s">
        <v>164</v>
      </c>
      <c r="C25" s="31" t="s">
        <v>165</v>
      </c>
      <c r="D25" s="30" t="s">
        <v>92</v>
      </c>
      <c r="E25" s="32" t="n">
        <f aca="false">IFERROR(AVERAGEIF(Autoevaluación!$B$2:$B$178,B25,Autoevaluación!$F$2:$F$178),0)</f>
        <v>0</v>
      </c>
      <c r="F25" s="31" t="str">
        <f aca="false">IFERROR(VLOOKUP(ROUND(E25,0),Escala!$A$4:$B$8,2,FALSE()),"")</f>
        <v>Ausente</v>
      </c>
      <c r="G25" s="30" t="str">
        <f aca="false">IF(E25&gt;=3,"Sí","No")</f>
        <v>No</v>
      </c>
      <c r="H25" s="33" t="str">
        <f aca="false">IF(E25&gt;=3,"En ley",IF(D25="Núcleo","ALTA",IF(D25="Intermedio","MEDIA","BAJA")))</f>
        <v>BAJA</v>
      </c>
    </row>
    <row r="26" customFormat="false" ht="15" hidden="false" customHeight="false" outlineLevel="0" collapsed="false">
      <c r="A26" s="30" t="s">
        <v>148</v>
      </c>
      <c r="B26" s="30" t="s">
        <v>169</v>
      </c>
      <c r="C26" s="31" t="s">
        <v>170</v>
      </c>
      <c r="D26" s="30" t="s">
        <v>92</v>
      </c>
      <c r="E26" s="32" t="n">
        <f aca="false">IFERROR(AVERAGEIF(Autoevaluación!$B$2:$B$178,B26,Autoevaluación!$F$2:$F$178),0)</f>
        <v>0</v>
      </c>
      <c r="F26" s="31" t="str">
        <f aca="false">IFERROR(VLOOKUP(ROUND(E26,0),Escala!$A$4:$B$8,2,FALSE()),"")</f>
        <v>Ausente</v>
      </c>
      <c r="G26" s="30" t="str">
        <f aca="false">IF(E26&gt;=3,"Sí","No")</f>
        <v>No</v>
      </c>
      <c r="H26" s="33" t="str">
        <f aca="false">IF(E26&gt;=3,"En ley",IF(D26="Núcleo","ALTA",IF(D26="Intermedio","MEDIA","BAJA")))</f>
        <v>BAJA</v>
      </c>
    </row>
    <row r="27" customFormat="false" ht="15" hidden="false" customHeight="false" outlineLevel="0" collapsed="false">
      <c r="A27" s="30" t="s">
        <v>174</v>
      </c>
      <c r="B27" s="30" t="s">
        <v>175</v>
      </c>
      <c r="C27" s="31" t="s">
        <v>176</v>
      </c>
      <c r="D27" s="30" t="s">
        <v>45</v>
      </c>
      <c r="E27" s="32" t="n">
        <f aca="false">IFERROR(AVERAGEIF(Autoevaluación!$B$2:$B$178,B27,Autoevaluación!$F$2:$F$178),0)</f>
        <v>0</v>
      </c>
      <c r="F27" s="31" t="str">
        <f aca="false">IFERROR(VLOOKUP(ROUND(E27,0),Escala!$A$4:$B$8,2,FALSE()),"")</f>
        <v>Ausente</v>
      </c>
      <c r="G27" s="30" t="str">
        <f aca="false">IF(E27&gt;=3,"Sí","No")</f>
        <v>No</v>
      </c>
      <c r="H27" s="33" t="str">
        <f aca="false">IF(E27&gt;=3,"En ley",IF(D27="Núcleo","ALTA",IF(D27="Intermedio","MEDIA","BAJA")))</f>
        <v>ALTA</v>
      </c>
    </row>
    <row r="28" customFormat="false" ht="15" hidden="false" customHeight="false" outlineLevel="0" collapsed="false">
      <c r="A28" s="30" t="s">
        <v>174</v>
      </c>
      <c r="B28" s="30" t="s">
        <v>180</v>
      </c>
      <c r="C28" s="31" t="s">
        <v>181</v>
      </c>
      <c r="D28" s="30" t="s">
        <v>45</v>
      </c>
      <c r="E28" s="32" t="n">
        <f aca="false">IFERROR(AVERAGEIF(Autoevaluación!$B$2:$B$178,B28,Autoevaluación!$F$2:$F$178),0)</f>
        <v>0</v>
      </c>
      <c r="F28" s="31" t="str">
        <f aca="false">IFERROR(VLOOKUP(ROUND(E28,0),Escala!$A$4:$B$8,2,FALSE()),"")</f>
        <v>Ausente</v>
      </c>
      <c r="G28" s="30" t="str">
        <f aca="false">IF(E28&gt;=3,"Sí","No")</f>
        <v>No</v>
      </c>
      <c r="H28" s="33" t="str">
        <f aca="false">IF(E28&gt;=3,"En ley",IF(D28="Núcleo","ALTA",IF(D28="Intermedio","MEDIA","BAJA")))</f>
        <v>ALTA</v>
      </c>
    </row>
    <row r="29" customFormat="false" ht="15" hidden="false" customHeight="false" outlineLevel="0" collapsed="false">
      <c r="A29" s="30" t="s">
        <v>174</v>
      </c>
      <c r="B29" s="30" t="s">
        <v>185</v>
      </c>
      <c r="C29" s="31" t="s">
        <v>186</v>
      </c>
      <c r="D29" s="30" t="s">
        <v>92</v>
      </c>
      <c r="E29" s="32" t="n">
        <f aca="false">IFERROR(AVERAGEIF(Autoevaluación!$B$2:$B$178,B29,Autoevaluación!$F$2:$F$178),0)</f>
        <v>0</v>
      </c>
      <c r="F29" s="31" t="str">
        <f aca="false">IFERROR(VLOOKUP(ROUND(E29,0),Escala!$A$4:$B$8,2,FALSE()),"")</f>
        <v>Ausente</v>
      </c>
      <c r="G29" s="30" t="str">
        <f aca="false">IF(E29&gt;=3,"Sí","No")</f>
        <v>No</v>
      </c>
      <c r="H29" s="33" t="str">
        <f aca="false">IF(E29&gt;=3,"En ley",IF(D29="Núcleo","ALTA",IF(D29="Intermedio","MEDIA","BAJA")))</f>
        <v>BAJA</v>
      </c>
    </row>
    <row r="30" customFormat="false" ht="28.35" hidden="false" customHeight="false" outlineLevel="0" collapsed="false">
      <c r="A30" s="30" t="s">
        <v>174</v>
      </c>
      <c r="B30" s="30" t="s">
        <v>190</v>
      </c>
      <c r="C30" s="31" t="s">
        <v>191</v>
      </c>
      <c r="D30" s="30" t="s">
        <v>45</v>
      </c>
      <c r="E30" s="32" t="n">
        <f aca="false">IFERROR(AVERAGEIF(Autoevaluación!$B$2:$B$178,B30,Autoevaluación!$F$2:$F$178),0)</f>
        <v>0</v>
      </c>
      <c r="F30" s="31" t="str">
        <f aca="false">IFERROR(VLOOKUP(ROUND(E30,0),Escala!$A$4:$B$8,2,FALSE()),"")</f>
        <v>Ausente</v>
      </c>
      <c r="G30" s="30" t="str">
        <f aca="false">IF(E30&gt;=3,"Sí","No")</f>
        <v>No</v>
      </c>
      <c r="H30" s="33" t="str">
        <f aca="false">IF(E30&gt;=3,"En ley",IF(D30="Núcleo","ALTA",IF(D30="Intermedio","MEDIA","BAJA")))</f>
        <v>ALTA</v>
      </c>
    </row>
    <row r="31" customFormat="false" ht="15" hidden="false" customHeight="false" outlineLevel="0" collapsed="false">
      <c r="A31" s="30" t="s">
        <v>174</v>
      </c>
      <c r="B31" s="30" t="s">
        <v>195</v>
      </c>
      <c r="C31" s="31" t="s">
        <v>196</v>
      </c>
      <c r="D31" s="30" t="s">
        <v>71</v>
      </c>
      <c r="E31" s="32" t="n">
        <f aca="false">IFERROR(AVERAGEIF(Autoevaluación!$B$2:$B$178,B31,Autoevaluación!$F$2:$F$178),0)</f>
        <v>0</v>
      </c>
      <c r="F31" s="31" t="str">
        <f aca="false">IFERROR(VLOOKUP(ROUND(E31,0),Escala!$A$4:$B$8,2,FALSE()),"")</f>
        <v>Ausente</v>
      </c>
      <c r="G31" s="30" t="str">
        <f aca="false">IF(E31&gt;=3,"Sí","No")</f>
        <v>No</v>
      </c>
      <c r="H31" s="33" t="str">
        <f aca="false">IF(E31&gt;=3,"En ley",IF(D31="Núcleo","ALTA",IF(D31="Intermedio","MEDIA","BAJA")))</f>
        <v>MEDIA</v>
      </c>
    </row>
    <row r="32" customFormat="false" ht="28.35" hidden="false" customHeight="false" outlineLevel="0" collapsed="false">
      <c r="A32" s="30" t="s">
        <v>174</v>
      </c>
      <c r="B32" s="30" t="s">
        <v>200</v>
      </c>
      <c r="C32" s="31" t="s">
        <v>201</v>
      </c>
      <c r="D32" s="30" t="s">
        <v>71</v>
      </c>
      <c r="E32" s="32" t="n">
        <f aca="false">IFERROR(AVERAGEIF(Autoevaluación!$B$2:$B$178,B32,Autoevaluación!$F$2:$F$178),0)</f>
        <v>0</v>
      </c>
      <c r="F32" s="31" t="str">
        <f aca="false">IFERROR(VLOOKUP(ROUND(E32,0),Escala!$A$4:$B$8,2,FALSE()),"")</f>
        <v>Ausente</v>
      </c>
      <c r="G32" s="30" t="str">
        <f aca="false">IF(E32&gt;=3,"Sí","No")</f>
        <v>No</v>
      </c>
      <c r="H32" s="33" t="str">
        <f aca="false">IF(E32&gt;=3,"En ley",IF(D32="Núcleo","ALTA",IF(D32="Intermedio","MEDIA","BAJA")))</f>
        <v>MEDIA</v>
      </c>
    </row>
    <row r="33" customFormat="false" ht="15" hidden="false" customHeight="false" outlineLevel="0" collapsed="false">
      <c r="A33" s="30" t="s">
        <v>174</v>
      </c>
      <c r="B33" s="30" t="s">
        <v>205</v>
      </c>
      <c r="C33" s="31" t="s">
        <v>206</v>
      </c>
      <c r="D33" s="30" t="s">
        <v>92</v>
      </c>
      <c r="E33" s="32" t="n">
        <f aca="false">IFERROR(AVERAGEIF(Autoevaluación!$B$2:$B$178,B33,Autoevaluación!$F$2:$F$178),0)</f>
        <v>0</v>
      </c>
      <c r="F33" s="31" t="str">
        <f aca="false">IFERROR(VLOOKUP(ROUND(E33,0),Escala!$A$4:$B$8,2,FALSE()),"")</f>
        <v>Ausente</v>
      </c>
      <c r="G33" s="30" t="str">
        <f aca="false">IF(E33&gt;=3,"Sí","No")</f>
        <v>No</v>
      </c>
      <c r="H33" s="33" t="str">
        <f aca="false">IF(E33&gt;=3,"En ley",IF(D33="Núcleo","ALTA",IF(D33="Intermedio","MEDIA","BAJA")))</f>
        <v>BAJA</v>
      </c>
    </row>
    <row r="34" customFormat="false" ht="15" hidden="false" customHeight="false" outlineLevel="0" collapsed="false">
      <c r="A34" s="30" t="s">
        <v>210</v>
      </c>
      <c r="B34" s="30" t="s">
        <v>211</v>
      </c>
      <c r="C34" s="31" t="s">
        <v>212</v>
      </c>
      <c r="D34" s="30" t="s">
        <v>71</v>
      </c>
      <c r="E34" s="32" t="n">
        <f aca="false">IFERROR(AVERAGEIF(Autoevaluación!$B$2:$B$178,B34,Autoevaluación!$F$2:$F$178),0)</f>
        <v>0</v>
      </c>
      <c r="F34" s="31" t="str">
        <f aca="false">IFERROR(VLOOKUP(ROUND(E34,0),Escala!$A$4:$B$8,2,FALSE()),"")</f>
        <v>Ausente</v>
      </c>
      <c r="G34" s="30" t="str">
        <f aca="false">IF(E34&gt;=3,"Sí","No")</f>
        <v>No</v>
      </c>
      <c r="H34" s="33" t="str">
        <f aca="false">IF(E34&gt;=3,"En ley",IF(D34="Núcleo","ALTA",IF(D34="Intermedio","MEDIA","BAJA")))</f>
        <v>MEDIA</v>
      </c>
    </row>
    <row r="35" customFormat="false" ht="28.35" hidden="false" customHeight="false" outlineLevel="0" collapsed="false">
      <c r="A35" s="30" t="s">
        <v>210</v>
      </c>
      <c r="B35" s="30" t="s">
        <v>216</v>
      </c>
      <c r="C35" s="31" t="s">
        <v>217</v>
      </c>
      <c r="D35" s="30" t="s">
        <v>92</v>
      </c>
      <c r="E35" s="32" t="n">
        <f aca="false">IFERROR(AVERAGEIF(Autoevaluación!$B$2:$B$178,B35,Autoevaluación!$F$2:$F$178),0)</f>
        <v>0</v>
      </c>
      <c r="F35" s="31" t="str">
        <f aca="false">IFERROR(VLOOKUP(ROUND(E35,0),Escala!$A$4:$B$8,2,FALSE()),"")</f>
        <v>Ausente</v>
      </c>
      <c r="G35" s="30" t="str">
        <f aca="false">IF(E35&gt;=3,"Sí","No")</f>
        <v>No</v>
      </c>
      <c r="H35" s="33" t="str">
        <f aca="false">IF(E35&gt;=3,"En ley",IF(D35="Núcleo","ALTA",IF(D35="Intermedio","MEDIA","BAJA")))</f>
        <v>BAJA</v>
      </c>
    </row>
    <row r="36" customFormat="false" ht="28.35" hidden="false" customHeight="false" outlineLevel="0" collapsed="false">
      <c r="A36" s="30" t="s">
        <v>210</v>
      </c>
      <c r="B36" s="30" t="s">
        <v>221</v>
      </c>
      <c r="C36" s="31" t="s">
        <v>222</v>
      </c>
      <c r="D36" s="30" t="s">
        <v>71</v>
      </c>
      <c r="E36" s="32" t="n">
        <f aca="false">IFERROR(AVERAGEIF(Autoevaluación!$B$2:$B$178,B36,Autoevaluación!$F$2:$F$178),0)</f>
        <v>0</v>
      </c>
      <c r="F36" s="31" t="str">
        <f aca="false">IFERROR(VLOOKUP(ROUND(E36,0),Escala!$A$4:$B$8,2,FALSE()),"")</f>
        <v>Ausente</v>
      </c>
      <c r="G36" s="30" t="str">
        <f aca="false">IF(E36&gt;=3,"Sí","No")</f>
        <v>No</v>
      </c>
      <c r="H36" s="33" t="str">
        <f aca="false">IF(E36&gt;=3,"En ley",IF(D36="Núcleo","ALTA",IF(D36="Intermedio","MEDIA","BAJA")))</f>
        <v>MEDIA</v>
      </c>
    </row>
    <row r="37" customFormat="false" ht="15" hidden="false" customHeight="false" outlineLevel="0" collapsed="false">
      <c r="A37" s="30" t="s">
        <v>210</v>
      </c>
      <c r="B37" s="30" t="s">
        <v>226</v>
      </c>
      <c r="C37" s="31" t="s">
        <v>227</v>
      </c>
      <c r="D37" s="30" t="s">
        <v>92</v>
      </c>
      <c r="E37" s="32" t="n">
        <f aca="false">IFERROR(AVERAGEIF(Autoevaluación!$B$2:$B$178,B37,Autoevaluación!$F$2:$F$178),0)</f>
        <v>0</v>
      </c>
      <c r="F37" s="31" t="str">
        <f aca="false">IFERROR(VLOOKUP(ROUND(E37,0),Escala!$A$4:$B$8,2,FALSE()),"")</f>
        <v>Ausente</v>
      </c>
      <c r="G37" s="30" t="str">
        <f aca="false">IF(E37&gt;=3,"Sí","No")</f>
        <v>No</v>
      </c>
      <c r="H37" s="33" t="str">
        <f aca="false">IF(E37&gt;=3,"En ley",IF(D37="Núcleo","ALTA",IF(D37="Intermedio","MEDIA","BAJA")))</f>
        <v>BAJA</v>
      </c>
    </row>
    <row r="38" customFormat="false" ht="28.35" hidden="false" customHeight="false" outlineLevel="0" collapsed="false">
      <c r="A38" s="30" t="s">
        <v>210</v>
      </c>
      <c r="B38" s="30" t="s">
        <v>231</v>
      </c>
      <c r="C38" s="31" t="s">
        <v>232</v>
      </c>
      <c r="D38" s="30" t="s">
        <v>92</v>
      </c>
      <c r="E38" s="32" t="n">
        <f aca="false">IFERROR(AVERAGEIF(Autoevaluación!$B$2:$B$178,B38,Autoevaluación!$F$2:$F$178),0)</f>
        <v>0</v>
      </c>
      <c r="F38" s="31" t="str">
        <f aca="false">IFERROR(VLOOKUP(ROUND(E38,0),Escala!$A$4:$B$8,2,FALSE()),"")</f>
        <v>Ausente</v>
      </c>
      <c r="G38" s="30" t="str">
        <f aca="false">IF(E38&gt;=3,"Sí","No")</f>
        <v>No</v>
      </c>
      <c r="H38" s="33" t="str">
        <f aca="false">IF(E38&gt;=3,"En ley",IF(D38="Núcleo","ALTA",IF(D38="Intermedio","MEDIA","BAJA")))</f>
        <v>BAJA</v>
      </c>
    </row>
    <row r="39" customFormat="false" ht="28.35" hidden="false" customHeight="false" outlineLevel="0" collapsed="false">
      <c r="A39" s="30" t="s">
        <v>210</v>
      </c>
      <c r="B39" s="30" t="s">
        <v>236</v>
      </c>
      <c r="C39" s="31" t="s">
        <v>237</v>
      </c>
      <c r="D39" s="30" t="s">
        <v>92</v>
      </c>
      <c r="E39" s="32" t="n">
        <f aca="false">IFERROR(AVERAGEIF(Autoevaluación!$B$2:$B$178,B39,Autoevaluación!$F$2:$F$178),0)</f>
        <v>0</v>
      </c>
      <c r="F39" s="31" t="str">
        <f aca="false">IFERROR(VLOOKUP(ROUND(E39,0),Escala!$A$4:$B$8,2,FALSE()),"")</f>
        <v>Ausente</v>
      </c>
      <c r="G39" s="30" t="str">
        <f aca="false">IF(E39&gt;=3,"Sí","No")</f>
        <v>No</v>
      </c>
      <c r="H39" s="33" t="str">
        <f aca="false">IF(E39&gt;=3,"En ley",IF(D39="Núcleo","ALTA",IF(D39="Intermedio","MEDIA","BAJA")))</f>
        <v>BAJA</v>
      </c>
    </row>
    <row r="40" customFormat="false" ht="15" hidden="false" customHeight="false" outlineLevel="0" collapsed="false">
      <c r="A40" s="30" t="s">
        <v>241</v>
      </c>
      <c r="B40" s="30" t="s">
        <v>242</v>
      </c>
      <c r="C40" s="31" t="s">
        <v>243</v>
      </c>
      <c r="D40" s="30" t="s">
        <v>71</v>
      </c>
      <c r="E40" s="32" t="n">
        <f aca="false">IFERROR(AVERAGEIF(Autoevaluación!$B$2:$B$178,B40,Autoevaluación!$F$2:$F$178),0)</f>
        <v>0</v>
      </c>
      <c r="F40" s="31" t="str">
        <f aca="false">IFERROR(VLOOKUP(ROUND(E40,0),Escala!$A$4:$B$8,2,FALSE()),"")</f>
        <v>Ausente</v>
      </c>
      <c r="G40" s="30" t="str">
        <f aca="false">IF(E40&gt;=3,"Sí","No")</f>
        <v>No</v>
      </c>
      <c r="H40" s="33" t="str">
        <f aca="false">IF(E40&gt;=3,"En ley",IF(D40="Núcleo","ALTA",IF(D40="Intermedio","MEDIA","BAJA")))</f>
        <v>MEDIA</v>
      </c>
    </row>
    <row r="41" customFormat="false" ht="15" hidden="false" customHeight="false" outlineLevel="0" collapsed="false">
      <c r="A41" s="30" t="s">
        <v>241</v>
      </c>
      <c r="B41" s="30" t="s">
        <v>247</v>
      </c>
      <c r="C41" s="31" t="s">
        <v>248</v>
      </c>
      <c r="D41" s="30" t="s">
        <v>71</v>
      </c>
      <c r="E41" s="32" t="n">
        <f aca="false">IFERROR(AVERAGEIF(Autoevaluación!$B$2:$B$178,B41,Autoevaluación!$F$2:$F$178),0)</f>
        <v>0</v>
      </c>
      <c r="F41" s="31" t="str">
        <f aca="false">IFERROR(VLOOKUP(ROUND(E41,0),Escala!$A$4:$B$8,2,FALSE()),"")</f>
        <v>Ausente</v>
      </c>
      <c r="G41" s="30" t="str">
        <f aca="false">IF(E41&gt;=3,"Sí","No")</f>
        <v>No</v>
      </c>
      <c r="H41" s="33" t="str">
        <f aca="false">IF(E41&gt;=3,"En ley",IF(D41="Núcleo","ALTA",IF(D41="Intermedio","MEDIA","BAJA")))</f>
        <v>MEDIA</v>
      </c>
    </row>
    <row r="42" customFormat="false" ht="15" hidden="false" customHeight="false" outlineLevel="0" collapsed="false">
      <c r="A42" s="30" t="s">
        <v>241</v>
      </c>
      <c r="B42" s="30" t="s">
        <v>252</v>
      </c>
      <c r="C42" s="31" t="s">
        <v>253</v>
      </c>
      <c r="D42" s="30" t="s">
        <v>71</v>
      </c>
      <c r="E42" s="32" t="n">
        <f aca="false">IFERROR(AVERAGEIF(Autoevaluación!$B$2:$B$178,B42,Autoevaluación!$F$2:$F$178),0)</f>
        <v>0</v>
      </c>
      <c r="F42" s="31" t="str">
        <f aca="false">IFERROR(VLOOKUP(ROUND(E42,0),Escala!$A$4:$B$8,2,FALSE()),"")</f>
        <v>Ausente</v>
      </c>
      <c r="G42" s="30" t="str">
        <f aca="false">IF(E42&gt;=3,"Sí","No")</f>
        <v>No</v>
      </c>
      <c r="H42" s="33" t="str">
        <f aca="false">IF(E42&gt;=3,"En ley",IF(D42="Núcleo","ALTA",IF(D42="Intermedio","MEDIA","BAJA")))</f>
        <v>MEDIA</v>
      </c>
    </row>
    <row r="43" customFormat="false" ht="28.35" hidden="false" customHeight="false" outlineLevel="0" collapsed="false">
      <c r="A43" s="30" t="s">
        <v>241</v>
      </c>
      <c r="B43" s="30" t="s">
        <v>257</v>
      </c>
      <c r="C43" s="31" t="s">
        <v>258</v>
      </c>
      <c r="D43" s="30" t="s">
        <v>92</v>
      </c>
      <c r="E43" s="32" t="n">
        <f aca="false">IFERROR(AVERAGEIF(Autoevaluación!$B$2:$B$178,B43,Autoevaluación!$F$2:$F$178),0)</f>
        <v>0</v>
      </c>
      <c r="F43" s="31" t="str">
        <f aca="false">IFERROR(VLOOKUP(ROUND(E43,0),Escala!$A$4:$B$8,2,FALSE()),"")</f>
        <v>Ausente</v>
      </c>
      <c r="G43" s="30" t="str">
        <f aca="false">IF(E43&gt;=3,"Sí","No")</f>
        <v>No</v>
      </c>
      <c r="H43" s="33" t="str">
        <f aca="false">IF(E43&gt;=3,"En ley",IF(D43="Núcleo","ALTA",IF(D43="Intermedio","MEDIA","BAJA")))</f>
        <v>BAJA</v>
      </c>
    </row>
    <row r="44" customFormat="false" ht="28.35" hidden="false" customHeight="false" outlineLevel="0" collapsed="false">
      <c r="A44" s="30" t="s">
        <v>241</v>
      </c>
      <c r="B44" s="30" t="s">
        <v>262</v>
      </c>
      <c r="C44" s="31" t="s">
        <v>263</v>
      </c>
      <c r="D44" s="30" t="s">
        <v>71</v>
      </c>
      <c r="E44" s="32" t="n">
        <f aca="false">IFERROR(AVERAGEIF(Autoevaluación!$B$2:$B$178,B44,Autoevaluación!$F$2:$F$178),0)</f>
        <v>0</v>
      </c>
      <c r="F44" s="31" t="str">
        <f aca="false">IFERROR(VLOOKUP(ROUND(E44,0),Escala!$A$4:$B$8,2,FALSE()),"")</f>
        <v>Ausente</v>
      </c>
      <c r="G44" s="30" t="str">
        <f aca="false">IF(E44&gt;=3,"Sí","No")</f>
        <v>No</v>
      </c>
      <c r="H44" s="33" t="str">
        <f aca="false">IF(E44&gt;=3,"En ley",IF(D44="Núcleo","ALTA",IF(D44="Intermedio","MEDIA","BAJA")))</f>
        <v>MEDIA</v>
      </c>
    </row>
    <row r="45" customFormat="false" ht="15" hidden="false" customHeight="false" outlineLevel="0" collapsed="false">
      <c r="A45" s="30" t="s">
        <v>241</v>
      </c>
      <c r="B45" s="30" t="s">
        <v>267</v>
      </c>
      <c r="C45" s="31" t="s">
        <v>268</v>
      </c>
      <c r="D45" s="30" t="s">
        <v>92</v>
      </c>
      <c r="E45" s="32" t="n">
        <f aca="false">IFERROR(AVERAGEIF(Autoevaluación!$B$2:$B$178,B45,Autoevaluación!$F$2:$F$178),0)</f>
        <v>0</v>
      </c>
      <c r="F45" s="31" t="str">
        <f aca="false">IFERROR(VLOOKUP(ROUND(E45,0),Escala!$A$4:$B$8,2,FALSE()),"")</f>
        <v>Ausente</v>
      </c>
      <c r="G45" s="30" t="str">
        <f aca="false">IF(E45&gt;=3,"Sí","No")</f>
        <v>No</v>
      </c>
      <c r="H45" s="33" t="str">
        <f aca="false">IF(E45&gt;=3,"En ley",IF(D45="Núcleo","ALTA",IF(D45="Intermedio","MEDIA","BAJA")))</f>
        <v>BAJA</v>
      </c>
    </row>
    <row r="46" customFormat="false" ht="28.35" hidden="false" customHeight="false" outlineLevel="0" collapsed="false">
      <c r="A46" s="30" t="s">
        <v>241</v>
      </c>
      <c r="B46" s="30" t="s">
        <v>272</v>
      </c>
      <c r="C46" s="31" t="s">
        <v>273</v>
      </c>
      <c r="D46" s="30" t="s">
        <v>92</v>
      </c>
      <c r="E46" s="32" t="n">
        <f aca="false">IFERROR(AVERAGEIF(Autoevaluación!$B$2:$B$178,B46,Autoevaluación!$F$2:$F$178),0)</f>
        <v>0</v>
      </c>
      <c r="F46" s="31" t="str">
        <f aca="false">IFERROR(VLOOKUP(ROUND(E46,0),Escala!$A$4:$B$8,2,FALSE()),"")</f>
        <v>Ausente</v>
      </c>
      <c r="G46" s="30" t="str">
        <f aca="false">IF(E46&gt;=3,"Sí","No")</f>
        <v>No</v>
      </c>
      <c r="H46" s="33" t="str">
        <f aca="false">IF(E46&gt;=3,"En ley",IF(D46="Núcleo","ALTA",IF(D46="Intermedio","MEDIA","BAJA")))</f>
        <v>BAJA</v>
      </c>
    </row>
    <row r="47" customFormat="false" ht="15" hidden="false" customHeight="false" outlineLevel="0" collapsed="false">
      <c r="A47" s="30" t="s">
        <v>277</v>
      </c>
      <c r="B47" s="30" t="s">
        <v>278</v>
      </c>
      <c r="C47" s="31" t="s">
        <v>279</v>
      </c>
      <c r="D47" s="30" t="s">
        <v>71</v>
      </c>
      <c r="E47" s="32" t="n">
        <f aca="false">IFERROR(AVERAGEIF(Autoevaluación!$B$2:$B$178,B47,Autoevaluación!$F$2:$F$178),0)</f>
        <v>0</v>
      </c>
      <c r="F47" s="31" t="str">
        <f aca="false">IFERROR(VLOOKUP(ROUND(E47,0),Escala!$A$4:$B$8,2,FALSE()),"")</f>
        <v>Ausente</v>
      </c>
      <c r="G47" s="30" t="str">
        <f aca="false">IF(E47&gt;=3,"Sí","No")</f>
        <v>No</v>
      </c>
      <c r="H47" s="33" t="str">
        <f aca="false">IF(E47&gt;=3,"En ley",IF(D47="Núcleo","ALTA",IF(D47="Intermedio","MEDIA","BAJA")))</f>
        <v>MEDIA</v>
      </c>
    </row>
    <row r="48" customFormat="false" ht="15" hidden="false" customHeight="false" outlineLevel="0" collapsed="false">
      <c r="A48" s="30" t="s">
        <v>277</v>
      </c>
      <c r="B48" s="30" t="s">
        <v>283</v>
      </c>
      <c r="C48" s="31" t="s">
        <v>284</v>
      </c>
      <c r="D48" s="30" t="s">
        <v>71</v>
      </c>
      <c r="E48" s="32" t="n">
        <f aca="false">IFERROR(AVERAGEIF(Autoevaluación!$B$2:$B$178,B48,Autoevaluación!$F$2:$F$178),0)</f>
        <v>0</v>
      </c>
      <c r="F48" s="31" t="str">
        <f aca="false">IFERROR(VLOOKUP(ROUND(E48,0),Escala!$A$4:$B$8,2,FALSE()),"")</f>
        <v>Ausente</v>
      </c>
      <c r="G48" s="30" t="str">
        <f aca="false">IF(E48&gt;=3,"Sí","No")</f>
        <v>No</v>
      </c>
      <c r="H48" s="33" t="str">
        <f aca="false">IF(E48&gt;=3,"En ley",IF(D48="Núcleo","ALTA",IF(D48="Intermedio","MEDIA","BAJA")))</f>
        <v>MEDIA</v>
      </c>
    </row>
    <row r="49" customFormat="false" ht="15" hidden="false" customHeight="false" outlineLevel="0" collapsed="false">
      <c r="A49" s="30" t="s">
        <v>277</v>
      </c>
      <c r="B49" s="30" t="s">
        <v>288</v>
      </c>
      <c r="C49" s="31" t="s">
        <v>289</v>
      </c>
      <c r="D49" s="30" t="s">
        <v>92</v>
      </c>
      <c r="E49" s="32" t="n">
        <f aca="false">IFERROR(AVERAGEIF(Autoevaluación!$B$2:$B$178,B49,Autoevaluación!$F$2:$F$178),0)</f>
        <v>0</v>
      </c>
      <c r="F49" s="31" t="str">
        <f aca="false">IFERROR(VLOOKUP(ROUND(E49,0),Escala!$A$4:$B$8,2,FALSE()),"")</f>
        <v>Ausente</v>
      </c>
      <c r="G49" s="30" t="str">
        <f aca="false">IF(E49&gt;=3,"Sí","No")</f>
        <v>No</v>
      </c>
      <c r="H49" s="33" t="str">
        <f aca="false">IF(E49&gt;=3,"En ley",IF(D49="Núcleo","ALTA",IF(D49="Intermedio","MEDIA","BAJA")))</f>
        <v>BAJA</v>
      </c>
    </row>
    <row r="50" customFormat="false" ht="15" hidden="false" customHeight="false" outlineLevel="0" collapsed="false">
      <c r="A50" s="30" t="s">
        <v>277</v>
      </c>
      <c r="B50" s="30" t="s">
        <v>293</v>
      </c>
      <c r="C50" s="31" t="s">
        <v>294</v>
      </c>
      <c r="D50" s="30" t="s">
        <v>71</v>
      </c>
      <c r="E50" s="32" t="n">
        <f aca="false">IFERROR(AVERAGEIF(Autoevaluación!$B$2:$B$178,B50,Autoevaluación!$F$2:$F$178),0)</f>
        <v>0</v>
      </c>
      <c r="F50" s="31" t="str">
        <f aca="false">IFERROR(VLOOKUP(ROUND(E50,0),Escala!$A$4:$B$8,2,FALSE()),"")</f>
        <v>Ausente</v>
      </c>
      <c r="G50" s="30" t="str">
        <f aca="false">IF(E50&gt;=3,"Sí","No")</f>
        <v>No</v>
      </c>
      <c r="H50" s="33" t="str">
        <f aca="false">IF(E50&gt;=3,"En ley",IF(D50="Núcleo","ALTA",IF(D50="Intermedio","MEDIA","BAJA")))</f>
        <v>MEDIA</v>
      </c>
    </row>
    <row r="51" customFormat="false" ht="15" hidden="false" customHeight="false" outlineLevel="0" collapsed="false">
      <c r="A51" s="30" t="s">
        <v>277</v>
      </c>
      <c r="B51" s="30" t="s">
        <v>298</v>
      </c>
      <c r="C51" s="31" t="s">
        <v>299</v>
      </c>
      <c r="D51" s="30" t="s">
        <v>71</v>
      </c>
      <c r="E51" s="32" t="n">
        <f aca="false">IFERROR(AVERAGEIF(Autoevaluación!$B$2:$B$178,B51,Autoevaluación!$F$2:$F$178),0)</f>
        <v>0</v>
      </c>
      <c r="F51" s="31" t="str">
        <f aca="false">IFERROR(VLOOKUP(ROUND(E51,0),Escala!$A$4:$B$8,2,FALSE()),"")</f>
        <v>Ausente</v>
      </c>
      <c r="G51" s="30" t="str">
        <f aca="false">IF(E51&gt;=3,"Sí","No")</f>
        <v>No</v>
      </c>
      <c r="H51" s="33" t="str">
        <f aca="false">IF(E51&gt;=3,"En ley",IF(D51="Núcleo","ALTA",IF(D51="Intermedio","MEDIA","BAJA")))</f>
        <v>MEDIA</v>
      </c>
    </row>
    <row r="52" customFormat="false" ht="28.35" hidden="false" customHeight="false" outlineLevel="0" collapsed="false">
      <c r="A52" s="30" t="s">
        <v>277</v>
      </c>
      <c r="B52" s="30" t="s">
        <v>303</v>
      </c>
      <c r="C52" s="31" t="s">
        <v>304</v>
      </c>
      <c r="D52" s="30" t="s">
        <v>92</v>
      </c>
      <c r="E52" s="32" t="n">
        <f aca="false">IFERROR(AVERAGEIF(Autoevaluación!$B$2:$B$178,B52,Autoevaluación!$F$2:$F$178),0)</f>
        <v>0</v>
      </c>
      <c r="F52" s="31" t="str">
        <f aca="false">IFERROR(VLOOKUP(ROUND(E52,0),Escala!$A$4:$B$8,2,FALSE()),"")</f>
        <v>Ausente</v>
      </c>
      <c r="G52" s="30" t="str">
        <f aca="false">IF(E52&gt;=3,"Sí","No")</f>
        <v>No</v>
      </c>
      <c r="H52" s="33" t="str">
        <f aca="false">IF(E52&gt;=3,"En ley",IF(D52="Núcleo","ALTA",IF(D52="Intermedio","MEDIA","BAJA")))</f>
        <v>BAJA</v>
      </c>
    </row>
    <row r="53" customFormat="false" ht="15" hidden="false" customHeight="false" outlineLevel="0" collapsed="false">
      <c r="A53" s="30" t="s">
        <v>308</v>
      </c>
      <c r="B53" s="30" t="s">
        <v>309</v>
      </c>
      <c r="C53" s="31" t="s">
        <v>310</v>
      </c>
      <c r="D53" s="30" t="s">
        <v>45</v>
      </c>
      <c r="E53" s="32" t="n">
        <f aca="false">IFERROR(AVERAGEIF(Autoevaluación!$B$2:$B$178,B53,Autoevaluación!$F$2:$F$178),0)</f>
        <v>0</v>
      </c>
      <c r="F53" s="31" t="str">
        <f aca="false">IFERROR(VLOOKUP(ROUND(E53,0),Escala!$A$4:$B$8,2,FALSE()),"")</f>
        <v>Ausente</v>
      </c>
      <c r="G53" s="30" t="str">
        <f aca="false">IF(E53&gt;=3,"Sí","No")</f>
        <v>No</v>
      </c>
      <c r="H53" s="33" t="str">
        <f aca="false">IF(E53&gt;=3,"En ley",IF(D53="Núcleo","ALTA",IF(D53="Intermedio","MEDIA","BAJA")))</f>
        <v>ALTA</v>
      </c>
    </row>
    <row r="54" customFormat="false" ht="15" hidden="false" customHeight="false" outlineLevel="0" collapsed="false">
      <c r="A54" s="30" t="s">
        <v>308</v>
      </c>
      <c r="B54" s="30" t="s">
        <v>314</v>
      </c>
      <c r="C54" s="31" t="s">
        <v>315</v>
      </c>
      <c r="D54" s="30" t="s">
        <v>71</v>
      </c>
      <c r="E54" s="32" t="n">
        <f aca="false">IFERROR(AVERAGEIF(Autoevaluación!$B$2:$B$178,B54,Autoevaluación!$F$2:$F$178),0)</f>
        <v>0</v>
      </c>
      <c r="F54" s="31" t="str">
        <f aca="false">IFERROR(VLOOKUP(ROUND(E54,0),Escala!$A$4:$B$8,2,FALSE()),"")</f>
        <v>Ausente</v>
      </c>
      <c r="G54" s="30" t="str">
        <f aca="false">IF(E54&gt;=3,"Sí","No")</f>
        <v>No</v>
      </c>
      <c r="H54" s="33" t="str">
        <f aca="false">IF(E54&gt;=3,"En ley",IF(D54="Núcleo","ALTA",IF(D54="Intermedio","MEDIA","BAJA")))</f>
        <v>MEDIA</v>
      </c>
    </row>
    <row r="55" customFormat="false" ht="15" hidden="false" customHeight="false" outlineLevel="0" collapsed="false">
      <c r="A55" s="30" t="s">
        <v>308</v>
      </c>
      <c r="B55" s="30" t="s">
        <v>319</v>
      </c>
      <c r="C55" s="31" t="s">
        <v>320</v>
      </c>
      <c r="D55" s="30" t="s">
        <v>45</v>
      </c>
      <c r="E55" s="32" t="n">
        <f aca="false">IFERROR(AVERAGEIF(Autoevaluación!$B$2:$B$178,B55,Autoevaluación!$F$2:$F$178),0)</f>
        <v>0</v>
      </c>
      <c r="F55" s="31" t="str">
        <f aca="false">IFERROR(VLOOKUP(ROUND(E55,0),Escala!$A$4:$B$8,2,FALSE()),"")</f>
        <v>Ausente</v>
      </c>
      <c r="G55" s="30" t="str">
        <f aca="false">IF(E55&gt;=3,"Sí","No")</f>
        <v>No</v>
      </c>
      <c r="H55" s="33" t="str">
        <f aca="false">IF(E55&gt;=3,"En ley",IF(D55="Núcleo","ALTA",IF(D55="Intermedio","MEDIA","BAJA")))</f>
        <v>ALTA</v>
      </c>
    </row>
    <row r="56" customFormat="false" ht="15" hidden="false" customHeight="false" outlineLevel="0" collapsed="false">
      <c r="A56" s="30" t="s">
        <v>308</v>
      </c>
      <c r="B56" s="30" t="s">
        <v>324</v>
      </c>
      <c r="C56" s="31" t="s">
        <v>325</v>
      </c>
      <c r="D56" s="30" t="s">
        <v>92</v>
      </c>
      <c r="E56" s="32" t="n">
        <f aca="false">IFERROR(AVERAGEIF(Autoevaluación!$B$2:$B$178,B56,Autoevaluación!$F$2:$F$178),0)</f>
        <v>0</v>
      </c>
      <c r="F56" s="31" t="str">
        <f aca="false">IFERROR(VLOOKUP(ROUND(E56,0),Escala!$A$4:$B$8,2,FALSE()),"")</f>
        <v>Ausente</v>
      </c>
      <c r="G56" s="30" t="str">
        <f aca="false">IF(E56&gt;=3,"Sí","No")</f>
        <v>No</v>
      </c>
      <c r="H56" s="33" t="str">
        <f aca="false">IF(E56&gt;=3,"En ley",IF(D56="Núcleo","ALTA",IF(D56="Intermedio","MEDIA","BAJA")))</f>
        <v>BAJA</v>
      </c>
    </row>
    <row r="57" customFormat="false" ht="15" hidden="false" customHeight="false" outlineLevel="0" collapsed="false">
      <c r="A57" s="30" t="s">
        <v>329</v>
      </c>
      <c r="B57" s="30" t="s">
        <v>330</v>
      </c>
      <c r="C57" s="31" t="s">
        <v>331</v>
      </c>
      <c r="D57" s="30" t="s">
        <v>71</v>
      </c>
      <c r="E57" s="32" t="n">
        <f aca="false">IFERROR(AVERAGEIF(Autoevaluación!$B$2:$B$178,B57,Autoevaluación!$F$2:$F$178),0)</f>
        <v>0</v>
      </c>
      <c r="F57" s="31" t="str">
        <f aca="false">IFERROR(VLOOKUP(ROUND(E57,0),Escala!$A$4:$B$8,2,FALSE()),"")</f>
        <v>Ausente</v>
      </c>
      <c r="G57" s="30" t="str">
        <f aca="false">IF(E57&gt;=3,"Sí","No")</f>
        <v>No</v>
      </c>
      <c r="H57" s="33" t="str">
        <f aca="false">IF(E57&gt;=3,"En ley",IF(D57="Núcleo","ALTA",IF(D57="Intermedio","MEDIA","BAJA")))</f>
        <v>MEDIA</v>
      </c>
    </row>
    <row r="58" customFormat="false" ht="15" hidden="false" customHeight="false" outlineLevel="0" collapsed="false">
      <c r="A58" s="30" t="s">
        <v>329</v>
      </c>
      <c r="B58" s="30" t="s">
        <v>335</v>
      </c>
      <c r="C58" s="31" t="s">
        <v>336</v>
      </c>
      <c r="D58" s="30" t="s">
        <v>45</v>
      </c>
      <c r="E58" s="32" t="n">
        <f aca="false">IFERROR(AVERAGEIF(Autoevaluación!$B$2:$B$178,B58,Autoevaluación!$F$2:$F$178),0)</f>
        <v>0</v>
      </c>
      <c r="F58" s="31" t="str">
        <f aca="false">IFERROR(VLOOKUP(ROUND(E58,0),Escala!$A$4:$B$8,2,FALSE()),"")</f>
        <v>Ausente</v>
      </c>
      <c r="G58" s="30" t="str">
        <f aca="false">IF(E58&gt;=3,"Sí","No")</f>
        <v>No</v>
      </c>
      <c r="H58" s="33" t="str">
        <f aca="false">IF(E58&gt;=3,"En ley",IF(D58="Núcleo","ALTA",IF(D58="Intermedio","MEDIA","BAJA")))</f>
        <v>ALTA</v>
      </c>
    </row>
    <row r="59" customFormat="false" ht="28.35" hidden="false" customHeight="false" outlineLevel="0" collapsed="false">
      <c r="A59" s="30" t="s">
        <v>329</v>
      </c>
      <c r="B59" s="30" t="s">
        <v>340</v>
      </c>
      <c r="C59" s="31" t="s">
        <v>341</v>
      </c>
      <c r="D59" s="30" t="s">
        <v>45</v>
      </c>
      <c r="E59" s="32" t="n">
        <f aca="false">IFERROR(AVERAGEIF(Autoevaluación!$B$2:$B$178,B59,Autoevaluación!$F$2:$F$178),0)</f>
        <v>0</v>
      </c>
      <c r="F59" s="31" t="str">
        <f aca="false">IFERROR(VLOOKUP(ROUND(E59,0),Escala!$A$4:$B$8,2,FALSE()),"")</f>
        <v>Ausente</v>
      </c>
      <c r="G59" s="30" t="str">
        <f aca="false">IF(E59&gt;=3,"Sí","No")</f>
        <v>No</v>
      </c>
      <c r="H59" s="33" t="str">
        <f aca="false">IF(E59&gt;=3,"En ley",IF(D59="Núcleo","ALTA",IF(D59="Intermedio","MEDIA","BAJA")))</f>
        <v>ALTA</v>
      </c>
    </row>
    <row r="60" customFormat="false" ht="15" hidden="false" customHeight="false" outlineLevel="0" collapsed="false">
      <c r="A60" s="30" t="s">
        <v>329</v>
      </c>
      <c r="B60" s="30" t="s">
        <v>345</v>
      </c>
      <c r="C60" s="31" t="s">
        <v>346</v>
      </c>
      <c r="D60" s="30" t="s">
        <v>71</v>
      </c>
      <c r="E60" s="32" t="n">
        <f aca="false">IFERROR(AVERAGEIF(Autoevaluación!$B$2:$B$178,B60,Autoevaluación!$F$2:$F$178),0)</f>
        <v>0</v>
      </c>
      <c r="F60" s="31" t="str">
        <f aca="false">IFERROR(VLOOKUP(ROUND(E60,0),Escala!$A$4:$B$8,2,FALSE()),"")</f>
        <v>Ausente</v>
      </c>
      <c r="G60" s="30" t="str">
        <f aca="false">IF(E60&gt;=3,"Sí","No")</f>
        <v>No</v>
      </c>
      <c r="H60" s="33" t="str">
        <f aca="false">IF(E60&gt;=3,"En ley",IF(D60="Núcleo","ALTA",IF(D60="Intermedio","MEDIA","BAJA")))</f>
        <v>MEDIA</v>
      </c>
    </row>
  </sheetData>
  <autoFilter ref="A1:H60"/>
  <conditionalFormatting sqref="E2:E60">
    <cfRule type="colorScale" priority="2">
      <colorScale>
        <cfvo type="num" val="0"/>
        <cfvo type="num" val="2"/>
        <cfvo type="num" val="4"/>
        <color rgb="FFF4737A"/>
        <color rgb="FFFFE08A"/>
        <color rgb="FF7BC07F"/>
      </colorScale>
    </cfRule>
  </conditionalFormatting>
  <conditionalFormatting sqref="H2:H60">
    <cfRule type="cellIs" priority="3" operator="equal" aboveAverage="0" equalAverage="0" bottom="0" percent="0" rank="0" text="" dxfId="12">
      <formula>"ALTA"</formula>
    </cfRule>
    <cfRule type="cellIs" priority="4" operator="equal" aboveAverage="0" equalAverage="0" bottom="0" percent="0" rank="0" text="" dxfId="13">
      <formula>"MEDIA"</formula>
    </cfRule>
    <cfRule type="cellIs" priority="5" operator="equal" aboveAverage="0" equalAverage="0" bottom="0" percent="0" rank="0" text="" dxfId="14">
      <formula>"En ley"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6"/>
  </cols>
  <sheetData>
    <row r="2" customFormat="false" ht="19.7" hidden="false" customHeight="false" outlineLevel="0" collapsed="false">
      <c r="B2" s="34" t="s">
        <v>353</v>
      </c>
    </row>
    <row r="3" customFormat="false" ht="15" hidden="false" customHeight="false" outlineLevel="0" collapsed="false">
      <c r="B3" s="35" t="s">
        <v>354</v>
      </c>
    </row>
    <row r="5" customFormat="false" ht="22.35" hidden="false" customHeight="false" outlineLevel="0" collapsed="false">
      <c r="B5" s="36" t="s">
        <v>355</v>
      </c>
      <c r="C5" s="36" t="s">
        <v>356</v>
      </c>
      <c r="D5" s="36" t="s">
        <v>357</v>
      </c>
      <c r="E5" s="36" t="s">
        <v>358</v>
      </c>
    </row>
    <row r="6" customFormat="false" ht="30" hidden="false" customHeight="true" outlineLevel="0" collapsed="false">
      <c r="B6" s="37" t="n">
        <f aca="false">IFERROR(AVERAGE(Resumen!$E$2:$E$60),0)</f>
        <v>0</v>
      </c>
      <c r="C6" s="38" t="n">
        <f aca="false">COUNTIF(Resumen!$E$2:$E$60,"&gt;=3")/59</f>
        <v>0</v>
      </c>
      <c r="D6" s="38" t="n">
        <f aca="false">COUNTIF(Resumen!$E$2:$E$60,"=4")/59</f>
        <v>0</v>
      </c>
      <c r="E6" s="39" t="n">
        <f aca="false">COUNTIFS(Resumen!$D$2:$D$60,"Núcleo",Resumen!$E$2:$E$60,"&lt;3")</f>
        <v>19</v>
      </c>
    </row>
    <row r="9" customFormat="false" ht="24" hidden="false" customHeight="true" outlineLevel="0" collapsed="false">
      <c r="B9" s="10" t="s">
        <v>34</v>
      </c>
      <c r="C9" s="10" t="s">
        <v>359</v>
      </c>
      <c r="D9" s="10" t="s">
        <v>360</v>
      </c>
      <c r="E9" s="10" t="s">
        <v>361</v>
      </c>
      <c r="F9" s="10" t="s">
        <v>362</v>
      </c>
      <c r="G9" s="10" t="s">
        <v>363</v>
      </c>
      <c r="H9" s="10" t="s">
        <v>364</v>
      </c>
    </row>
    <row r="10" customFormat="false" ht="15" hidden="false" customHeight="false" outlineLevel="0" collapsed="false">
      <c r="B10" s="30" t="s">
        <v>42</v>
      </c>
      <c r="C10" s="31" t="s">
        <v>365</v>
      </c>
      <c r="D10" s="30" t="n">
        <f aca="false">COUNTIF(Resumen!$A$2:$A$60,"A")</f>
        <v>10</v>
      </c>
      <c r="E10" s="40" t="n">
        <f aca="false">IFERROR(AVERAGEIF(Resumen!$A$2:$A$60,"A",Resumen!$E$2:$E$60),0)</f>
        <v>0</v>
      </c>
      <c r="F10" s="41" t="n">
        <f aca="false">COUNTIFS(Resumen!$A$2:$A$60,"A",Resumen!$E$2:$E$60,"&gt;=3")/COUNTIF(Resumen!$A$2:$A$60,"A")</f>
        <v>0</v>
      </c>
      <c r="G10" s="41" t="n">
        <f aca="false">COUNTIFS(Resumen!$A$2:$A$60,"A",Resumen!$E$2:$E$60,"=4")/COUNTIF(Resumen!$A$2:$A$60,"A")</f>
        <v>0</v>
      </c>
      <c r="H10" s="30" t="n">
        <f aca="false">COUNTIFS(Resumen!$A$2:$A$60,"A",Resumen!$D$2:$D$60,"Núcleo",Resumen!$E$2:$E$60,"&lt;3")</f>
        <v>6</v>
      </c>
    </row>
    <row r="11" customFormat="false" ht="15" hidden="false" customHeight="false" outlineLevel="0" collapsed="false">
      <c r="B11" s="30" t="s">
        <v>96</v>
      </c>
      <c r="C11" s="31" t="s">
        <v>366</v>
      </c>
      <c r="D11" s="30" t="n">
        <f aca="false">COUNTIF(Resumen!$A$2:$A$60,"B")</f>
        <v>5</v>
      </c>
      <c r="E11" s="40" t="n">
        <f aca="false">IFERROR(AVERAGEIF(Resumen!$A$2:$A$60,"B",Resumen!$E$2:$E$60),0)</f>
        <v>0</v>
      </c>
      <c r="F11" s="41" t="n">
        <f aca="false">COUNTIFS(Resumen!$A$2:$A$60,"B",Resumen!$E$2:$E$60,"&gt;=3")/COUNTIF(Resumen!$A$2:$A$60,"B")</f>
        <v>0</v>
      </c>
      <c r="G11" s="41" t="n">
        <f aca="false">COUNTIFS(Resumen!$A$2:$A$60,"B",Resumen!$E$2:$E$60,"=4")/COUNTIF(Resumen!$A$2:$A$60,"B")</f>
        <v>0</v>
      </c>
      <c r="H11" s="30" t="n">
        <f aca="false">COUNTIFS(Resumen!$A$2:$A$60,"B",Resumen!$D$2:$D$60,"Núcleo",Resumen!$E$2:$E$60,"&lt;3")</f>
        <v>2</v>
      </c>
    </row>
    <row r="12" customFormat="false" ht="15" hidden="false" customHeight="false" outlineLevel="0" collapsed="false">
      <c r="B12" s="30" t="s">
        <v>122</v>
      </c>
      <c r="C12" s="31" t="s">
        <v>367</v>
      </c>
      <c r="D12" s="30" t="n">
        <f aca="false">COUNTIF(Resumen!$A$2:$A$60,"C")</f>
        <v>5</v>
      </c>
      <c r="E12" s="40" t="n">
        <f aca="false">IFERROR(AVERAGEIF(Resumen!$A$2:$A$60,"C",Resumen!$E$2:$E$60),0)</f>
        <v>0</v>
      </c>
      <c r="F12" s="41" t="n">
        <f aca="false">COUNTIFS(Resumen!$A$2:$A$60,"C",Resumen!$E$2:$E$60,"&gt;=3")/COUNTIF(Resumen!$A$2:$A$60,"C")</f>
        <v>0</v>
      </c>
      <c r="G12" s="41" t="n">
        <f aca="false">COUNTIFS(Resumen!$A$2:$A$60,"C",Resumen!$E$2:$E$60,"=4")/COUNTIF(Resumen!$A$2:$A$60,"C")</f>
        <v>0</v>
      </c>
      <c r="H12" s="30" t="n">
        <f aca="false">COUNTIFS(Resumen!$A$2:$A$60,"C",Resumen!$D$2:$D$60,"Núcleo",Resumen!$E$2:$E$60,"&lt;3")</f>
        <v>2</v>
      </c>
    </row>
    <row r="13" customFormat="false" ht="15" hidden="false" customHeight="false" outlineLevel="0" collapsed="false">
      <c r="B13" s="30" t="s">
        <v>148</v>
      </c>
      <c r="C13" s="31" t="s">
        <v>368</v>
      </c>
      <c r="D13" s="30" t="n">
        <f aca="false">COUNTIF(Resumen!$A$2:$A$60,"D")</f>
        <v>5</v>
      </c>
      <c r="E13" s="40" t="n">
        <f aca="false">IFERROR(AVERAGEIF(Resumen!$A$2:$A$60,"D",Resumen!$E$2:$E$60),0)</f>
        <v>0</v>
      </c>
      <c r="F13" s="41" t="n">
        <f aca="false">COUNTIFS(Resumen!$A$2:$A$60,"D",Resumen!$E$2:$E$60,"&gt;=3")/COUNTIF(Resumen!$A$2:$A$60,"D")</f>
        <v>0</v>
      </c>
      <c r="G13" s="41" t="n">
        <f aca="false">COUNTIFS(Resumen!$A$2:$A$60,"D",Resumen!$E$2:$E$60,"=4")/COUNTIF(Resumen!$A$2:$A$60,"D")</f>
        <v>0</v>
      </c>
      <c r="H13" s="30" t="n">
        <f aca="false">COUNTIFS(Resumen!$A$2:$A$60,"D",Resumen!$D$2:$D$60,"Núcleo",Resumen!$E$2:$E$60,"&lt;3")</f>
        <v>2</v>
      </c>
    </row>
    <row r="14" customFormat="false" ht="15" hidden="false" customHeight="false" outlineLevel="0" collapsed="false">
      <c r="B14" s="30" t="s">
        <v>174</v>
      </c>
      <c r="C14" s="31" t="s">
        <v>369</v>
      </c>
      <c r="D14" s="30" t="n">
        <f aca="false">COUNTIF(Resumen!$A$2:$A$60,"E")</f>
        <v>7</v>
      </c>
      <c r="E14" s="40" t="n">
        <f aca="false">IFERROR(AVERAGEIF(Resumen!$A$2:$A$60,"E",Resumen!$E$2:$E$60),0)</f>
        <v>0</v>
      </c>
      <c r="F14" s="41" t="n">
        <f aca="false">COUNTIFS(Resumen!$A$2:$A$60,"E",Resumen!$E$2:$E$60,"&gt;=3")/COUNTIF(Resumen!$A$2:$A$60,"E")</f>
        <v>0</v>
      </c>
      <c r="G14" s="41" t="n">
        <f aca="false">COUNTIFS(Resumen!$A$2:$A$60,"E",Resumen!$E$2:$E$60,"=4")/COUNTIF(Resumen!$A$2:$A$60,"E")</f>
        <v>0</v>
      </c>
      <c r="H14" s="30" t="n">
        <f aca="false">COUNTIFS(Resumen!$A$2:$A$60,"E",Resumen!$D$2:$D$60,"Núcleo",Resumen!$E$2:$E$60,"&lt;3")</f>
        <v>3</v>
      </c>
    </row>
    <row r="15" customFormat="false" ht="15" hidden="false" customHeight="false" outlineLevel="0" collapsed="false">
      <c r="B15" s="30" t="s">
        <v>210</v>
      </c>
      <c r="C15" s="31" t="s">
        <v>370</v>
      </c>
      <c r="D15" s="30" t="n">
        <f aca="false">COUNTIF(Resumen!$A$2:$A$60,"F")</f>
        <v>6</v>
      </c>
      <c r="E15" s="40" t="n">
        <f aca="false">IFERROR(AVERAGEIF(Resumen!$A$2:$A$60,"F",Resumen!$E$2:$E$60),0)</f>
        <v>0</v>
      </c>
      <c r="F15" s="41" t="n">
        <f aca="false">COUNTIFS(Resumen!$A$2:$A$60,"F",Resumen!$E$2:$E$60,"&gt;=3")/COUNTIF(Resumen!$A$2:$A$60,"F")</f>
        <v>0</v>
      </c>
      <c r="G15" s="41" t="n">
        <f aca="false">COUNTIFS(Resumen!$A$2:$A$60,"F",Resumen!$E$2:$E$60,"=4")/COUNTIF(Resumen!$A$2:$A$60,"F")</f>
        <v>0</v>
      </c>
      <c r="H15" s="30" t="n">
        <f aca="false">COUNTIFS(Resumen!$A$2:$A$60,"F",Resumen!$D$2:$D$60,"Núcleo",Resumen!$E$2:$E$60,"&lt;3")</f>
        <v>0</v>
      </c>
    </row>
    <row r="16" customFormat="false" ht="15" hidden="false" customHeight="false" outlineLevel="0" collapsed="false">
      <c r="B16" s="30" t="s">
        <v>241</v>
      </c>
      <c r="C16" s="31" t="s">
        <v>371</v>
      </c>
      <c r="D16" s="30" t="n">
        <f aca="false">COUNTIF(Resumen!$A$2:$A$60,"G")</f>
        <v>7</v>
      </c>
      <c r="E16" s="40" t="n">
        <f aca="false">IFERROR(AVERAGEIF(Resumen!$A$2:$A$60,"G",Resumen!$E$2:$E$60),0)</f>
        <v>0</v>
      </c>
      <c r="F16" s="41" t="n">
        <f aca="false">COUNTIFS(Resumen!$A$2:$A$60,"G",Resumen!$E$2:$E$60,"&gt;=3")/COUNTIF(Resumen!$A$2:$A$60,"G")</f>
        <v>0</v>
      </c>
      <c r="G16" s="41" t="n">
        <f aca="false">COUNTIFS(Resumen!$A$2:$A$60,"G",Resumen!$E$2:$E$60,"=4")/COUNTIF(Resumen!$A$2:$A$60,"G")</f>
        <v>0</v>
      </c>
      <c r="H16" s="30" t="n">
        <f aca="false">COUNTIFS(Resumen!$A$2:$A$60,"G",Resumen!$D$2:$D$60,"Núcleo",Resumen!$E$2:$E$60,"&lt;3")</f>
        <v>0</v>
      </c>
    </row>
    <row r="17" customFormat="false" ht="15" hidden="false" customHeight="false" outlineLevel="0" collapsed="false">
      <c r="B17" s="30" t="s">
        <v>277</v>
      </c>
      <c r="C17" s="31" t="s">
        <v>372</v>
      </c>
      <c r="D17" s="30" t="n">
        <f aca="false">COUNTIF(Resumen!$A$2:$A$60,"H")</f>
        <v>6</v>
      </c>
      <c r="E17" s="40" t="n">
        <f aca="false">IFERROR(AVERAGEIF(Resumen!$A$2:$A$60,"H",Resumen!$E$2:$E$60),0)</f>
        <v>0</v>
      </c>
      <c r="F17" s="41" t="n">
        <f aca="false">COUNTIFS(Resumen!$A$2:$A$60,"H",Resumen!$E$2:$E$60,"&gt;=3")/COUNTIF(Resumen!$A$2:$A$60,"H")</f>
        <v>0</v>
      </c>
      <c r="G17" s="41" t="n">
        <f aca="false">COUNTIFS(Resumen!$A$2:$A$60,"H",Resumen!$E$2:$E$60,"=4")/COUNTIF(Resumen!$A$2:$A$60,"H")</f>
        <v>0</v>
      </c>
      <c r="H17" s="30" t="n">
        <f aca="false">COUNTIFS(Resumen!$A$2:$A$60,"H",Resumen!$D$2:$D$60,"Núcleo",Resumen!$E$2:$E$60,"&lt;3")</f>
        <v>0</v>
      </c>
    </row>
    <row r="18" customFormat="false" ht="15" hidden="false" customHeight="false" outlineLevel="0" collapsed="false">
      <c r="B18" s="30" t="s">
        <v>308</v>
      </c>
      <c r="C18" s="31" t="s">
        <v>373</v>
      </c>
      <c r="D18" s="30" t="n">
        <f aca="false">COUNTIF(Resumen!$A$2:$A$60,"I")</f>
        <v>4</v>
      </c>
      <c r="E18" s="40" t="n">
        <f aca="false">IFERROR(AVERAGEIF(Resumen!$A$2:$A$60,"I",Resumen!$E$2:$E$60),0)</f>
        <v>0</v>
      </c>
      <c r="F18" s="41" t="n">
        <f aca="false">COUNTIFS(Resumen!$A$2:$A$60,"I",Resumen!$E$2:$E$60,"&gt;=3")/COUNTIF(Resumen!$A$2:$A$60,"I")</f>
        <v>0</v>
      </c>
      <c r="G18" s="41" t="n">
        <f aca="false">COUNTIFS(Resumen!$A$2:$A$60,"I",Resumen!$E$2:$E$60,"=4")/COUNTIF(Resumen!$A$2:$A$60,"I")</f>
        <v>0</v>
      </c>
      <c r="H18" s="30" t="n">
        <f aca="false">COUNTIFS(Resumen!$A$2:$A$60,"I",Resumen!$D$2:$D$60,"Núcleo",Resumen!$E$2:$E$60,"&lt;3")</f>
        <v>2</v>
      </c>
    </row>
    <row r="19" customFormat="false" ht="15" hidden="false" customHeight="false" outlineLevel="0" collapsed="false">
      <c r="B19" s="30" t="s">
        <v>329</v>
      </c>
      <c r="C19" s="31" t="s">
        <v>374</v>
      </c>
      <c r="D19" s="30" t="n">
        <f aca="false">COUNTIF(Resumen!$A$2:$A$60,"J")</f>
        <v>4</v>
      </c>
      <c r="E19" s="40" t="n">
        <f aca="false">IFERROR(AVERAGEIF(Resumen!$A$2:$A$60,"J",Resumen!$E$2:$E$60),0)</f>
        <v>0</v>
      </c>
      <c r="F19" s="41" t="n">
        <f aca="false">COUNTIFS(Resumen!$A$2:$A$60,"J",Resumen!$E$2:$E$60,"&gt;=3")/COUNTIF(Resumen!$A$2:$A$60,"J")</f>
        <v>0</v>
      </c>
      <c r="G19" s="41" t="n">
        <f aca="false">COUNTIFS(Resumen!$A$2:$A$60,"J",Resumen!$E$2:$E$60,"=4")/COUNTIF(Resumen!$A$2:$A$60,"J")</f>
        <v>0</v>
      </c>
      <c r="H19" s="30" t="n">
        <f aca="false">COUNTIFS(Resumen!$A$2:$A$60,"J",Resumen!$D$2:$D$60,"Núcleo",Resumen!$E$2:$E$60,"&lt;3")</f>
        <v>2</v>
      </c>
    </row>
    <row r="20" customFormat="false" ht="15" hidden="false" customHeight="false" outlineLevel="0" collapsed="false">
      <c r="B20" s="42" t="s">
        <v>375</v>
      </c>
      <c r="C20" s="43"/>
      <c r="D20" s="44" t="n">
        <f aca="false">SUM(D10:D19)</f>
        <v>59</v>
      </c>
      <c r="E20" s="45" t="n">
        <f aca="false">IFERROR(AVERAGE(Resumen!$E$2:$E$60),0)</f>
        <v>0</v>
      </c>
      <c r="F20" s="46" t="n">
        <f aca="false">COUNTIF(Resumen!$E$2:$E$60,"&gt;=3")/59</f>
        <v>0</v>
      </c>
      <c r="G20" s="46" t="n">
        <f aca="false">COUNTIF(Resumen!$E$2:$E$60,"=4")/59</f>
        <v>0</v>
      </c>
      <c r="H20" s="44" t="n">
        <f aca="false">COUNTIFS(Resumen!$D$2:$D$60,"Núcleo",Resumen!$E$2:$E$60,"&lt;3")</f>
        <v>19</v>
      </c>
    </row>
    <row r="21" customFormat="false" ht="15" hidden="false" customHeight="false" outlineLevel="0" collapsed="false">
      <c r="B21" s="21" t="s">
        <v>376</v>
      </c>
    </row>
  </sheetData>
  <conditionalFormatting sqref="E10:E19">
    <cfRule type="colorScale" priority="2">
      <colorScale>
        <cfvo type="num" val="0"/>
        <cfvo type="num" val="2"/>
        <cfvo type="num" val="4"/>
        <color rgb="FFF4737A"/>
        <color rgb="FFFFE08A"/>
        <color rgb="FF7BC07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2026-06-16T21:06:57Z</dcterms:created>
  <dc:creator>openpyxl</dc:creator>
  <dc:description/>
  <dc:language>en-US</dc:language>
  <cp:lastModifiedBy/>
  <dcterms:modified xsi:type="dcterms:W3CDTF">2026-06-16T21:07:00Z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